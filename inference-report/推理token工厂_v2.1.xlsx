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2880" activeTab="1"/>
  </bookViews>
  <sheets>
    <sheet name="00_目录与版本" sheetId="1" r:id="rId1"/>
    <sheet name="01_背景与目标" sheetId="2" r:id="rId2"/>
    <sheet name="02_总览结论" sheetId="3" r:id="rId3"/>
    <sheet name="03_技术路线地图" sheetId="4" r:id="rId4"/>
    <sheet name="04_模型量化原理与方案" sheetId="5" r:id="rId5"/>
    <sheet name="05_KVCache量化原理与方案" sheetId="6" r:id="rId6"/>
    <sheet name="06_PrefixKV命中原理与方案" sheetId="7" r:id="rId7"/>
    <sheet name="07_投机解码原理与方案" sheetId="8" r:id="rId8"/>
    <sheet name="08_PD分离原理与方案" sheetId="9" r:id="rId9"/>
    <sheet name="09_MOE专家并行原理与方案" sheetId="10" r:id="rId10"/>
    <sheet name="10_连续批处理原理与方案" sheetId="11" r:id="rId11"/>
    <sheet name="11_推理框架总览" sheetId="12" r:id="rId12"/>
    <sheet name="12_框架对比分析" sheetId="13" r:id="rId13"/>
    <sheet name="13_框架-方法适配矩阵" sheetId="14" r:id="rId14"/>
    <sheet name="14_汇总建议与资源计划" sheetId="15" r:id="rId15"/>
    <sheet name="15_数据附录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<sst xmlns="http://schemas.openxmlformats.org/spreadsheetml/2006/main" count="2051" uniqueCount="1350">
  <si>
    <t>推理 Token 工厂：深度分析与推理框架对比</t>
  </si>
  <si>
    <t>v2.1 补充版 · 工服场景 Token 产能优化全景与框架选型矩阵</t>
  </si>
  <si>
    <t>本版亮点</t>
  </si>
  <si>
    <t>覆盖推理优化方法</t>
  </si>
  <si>
    <t>7</t>
  </si>
  <si>
    <t>模型量化 / KV Cache 量化 / Prefix 命中 / 投机解码 / PD 分离 / MOE EP / 连续批处理</t>
  </si>
  <si>
    <t>调研推理框架</t>
  </si>
  <si>
    <t>10</t>
  </si>
  <si>
    <t>vLLM / TGI / TensorRT-LLM / LMDeploy / SGLang / DeepSpeed-MII / FasterTransformer / LightLLM / MLC-LLM / OpenLLM</t>
  </si>
  <si>
    <t>对比维度</t>
  </si>
  <si>
    <t>12</t>
  </si>
  <si>
    <t>核心特性 / 性能 / 易用性 / 部署 / 优化技术栈 / 适配场景</t>
  </si>
  <si>
    <t>适配矩阵单元格</t>
  </si>
  <si>
    <t>70</t>
  </si>
  <si>
    <t>7 方法 × 10 框架原生支持度评分</t>
  </si>
  <si>
    <t>Sheet 目录</t>
  </si>
  <si>
    <t>序号</t>
  </si>
  <si>
    <t>Sheet 名称</t>
  </si>
  <si>
    <t>说明</t>
  </si>
  <si>
    <t>00</t>
  </si>
  <si>
    <t>目录与版本</t>
  </si>
  <si>
    <t>本版本亮点与目录</t>
  </si>
  <si>
    <t>01</t>
  </si>
  <si>
    <t>背景与目标</t>
  </si>
  <si>
    <t>工服 token 工厂定位、规模与目标</t>
  </si>
  <si>
    <t>02</t>
  </si>
  <si>
    <t>总览结论</t>
  </si>
  <si>
    <t>7 项技术状态与汇报口径</t>
  </si>
  <si>
    <t>03</t>
  </si>
  <si>
    <t>技术路线地图</t>
  </si>
  <si>
    <t>P0-P2 优先级 + 验证矩阵</t>
  </si>
  <si>
    <t>04</t>
  </si>
  <si>
    <t>模型量化 原理与方案</t>
  </si>
  <si>
    <t>FP8/BF16/INT 原理、指标、风险、框架支持</t>
  </si>
  <si>
    <t>05</t>
  </si>
  <si>
    <t>KVCache 量化 原理与方案</t>
  </si>
  <si>
    <t>fp8/fp16 KV 原理、补测指标、框架支持</t>
  </si>
  <si>
    <t>06</t>
  </si>
  <si>
    <t>Prefix KV 命中 原理与方案</t>
  </si>
  <si>
    <t>前缀复用机制、命中率、TTFT 收益</t>
  </si>
  <si>
    <t>07</t>
  </si>
  <si>
    <t>投机解码 原理与方案</t>
  </si>
  <si>
    <t>Draft/Verify 机制、接受率、候选数影响</t>
  </si>
  <si>
    <t>08</t>
  </si>
  <si>
    <t>PD 分离 原理与方案</t>
  </si>
  <si>
    <t>Prefill/Decode 拆分、异构资源收益</t>
  </si>
  <si>
    <t>09</t>
  </si>
  <si>
    <t>MOE 专家并行 原理与方案</t>
  </si>
  <si>
    <t>Router/EP/All2All、跨卡通信</t>
  </si>
  <si>
    <t>连续批处理 原理与方案</t>
  </si>
  <si>
    <t>Continuous Batching 机制与基线作用</t>
  </si>
  <si>
    <t>11</t>
  </si>
  <si>
    <t>推理框架总览</t>
  </si>
  <si>
    <t>10 个主流框架特性速览</t>
  </si>
  <si>
    <t>框架对比分析</t>
  </si>
  <si>
    <t>12 维度对比与优劣势</t>
  </si>
  <si>
    <t>13</t>
  </si>
  <si>
    <t>框架-方法适配矩阵</t>
  </si>
  <si>
    <t>70 单元格打分矩阵</t>
  </si>
  <si>
    <t>14</t>
  </si>
  <si>
    <t>汇总建议与资源计划</t>
  </si>
  <si>
    <t>优先级、下一步与资源申请</t>
  </si>
  <si>
    <t>15</t>
  </si>
  <si>
    <t>数据附录</t>
  </si>
  <si>
    <t>数据来源、状态、引用</t>
  </si>
  <si>
    <t>使用说明</t>
  </si>
  <si>
    <t>1. 蓝色 (#1565C0) 单元格代表用户可调整的输入参数或假设；黑色为公式或文本。</t>
  </si>
  <si>
    <t>2. Sheet 11-13 的框架特性基于公开文档与社区资料 (2026 上半年)。</t>
  </si>
  <si>
    <t>3. 收益数值为公开基准 / 历史数据的复述，非本轮实测。线上数据待补测。</t>
  </si>
  <si>
    <t>4. 所有外部资料已在 15_数据附录 标注 Provider 与参考链接。</t>
  </si>
  <si>
    <t>汇报背景与目标</t>
  </si>
  <si>
    <t>工服场景 Token 工厂业务定位与目标</t>
  </si>
  <si>
    <t>报告版本</t>
  </si>
  <si>
    <t>v2.1</t>
  </si>
  <si>
    <t>责任人</t>
  </si>
  <si>
    <t>孙力光 / 胡正升</t>
  </si>
  <si>
    <t>当前状态</t>
  </si>
  <si>
    <t>深度补充完成</t>
  </si>
  <si>
    <t>数据来源</t>
  </si>
  <si>
    <t>见 15_数据附录</t>
  </si>
  <si>
    <t>主题 · 已有结论 vs 领导汇报口径</t>
  </si>
  <si>
    <t>主题</t>
  </si>
  <si>
    <t>已有结论/历史数据</t>
  </si>
  <si>
    <t>汇报口径</t>
  </si>
  <si>
    <t>业务定位</t>
  </si>
  <si>
    <t>公服场景 token 工厂，以推理请求、长上下文输入和输出 token 生产效率为核心管理对象。</t>
  </si>
  <si>
    <t>目标是把模型推理从单点压测转成可规模化运营的 token 产能体系。</t>
  </si>
  <si>
    <t>请求规模</t>
  </si>
  <si>
    <t>历史样本累计 100.8 万 请求，成功率 100%，可作为本轮容量测算的业务底座。</t>
  </si>
  <si>
    <t>先按已观测工服请求规模做产能口径，后续随业务峰值补充并发水位。</t>
  </si>
  <si>
    <t>Token 规模</t>
  </si>
  <si>
    <t>历史样本累计约 593.6 亿 token，输入 token 占比约 98.9%。</t>
  </si>
  <si>
    <t>成本和容量压力主要来自输入侧长上下文，优化重点放在 prefill、KV 和缓存复用。</t>
  </si>
  <si>
    <t>长上下文压力</t>
  </si>
  <si>
    <t>32K 以上请求占比约 62.3%，P95 总长度已进入 100K 级别。</t>
  </si>
  <si>
    <t>适用大参数+长上下文场景，需要同时关注 TTFT、TPOT、吞吐和显存占用。</t>
  </si>
  <si>
    <t>指标口径</t>
  </si>
  <si>
    <t>请求量、token 量、输入占比和 32K 以上占比来自 context analysis 历史数据。</t>
  </si>
  <si>
    <t>已有结果标注为已有结论/历史数据；缺少线上复测的数据标注待补测/待资源验证。</t>
  </si>
  <si>
    <t>输入长度分桶（历史样本统计）</t>
  </si>
  <si>
    <t>分桶</t>
  </si>
  <si>
    <t>请求数</t>
  </si>
  <si>
    <t>请求占比 %</t>
  </si>
  <si>
    <t>累积占比 %</t>
  </si>
  <si>
    <t>备注</t>
  </si>
  <si>
    <t>0-4K</t>
  </si>
  <si>
    <t>短请求基线</t>
  </si>
  <si>
    <t>4K-8K</t>
  </si>
  <si>
    <t/>
  </si>
  <si>
    <t>8K-16K</t>
  </si>
  <si>
    <t>16K-32K</t>
  </si>
  <si>
    <t>32K-64K</t>
  </si>
  <si>
    <t>长上下文起点</t>
  </si>
  <si>
    <t>64K-128K</t>
  </si>
  <si>
    <t>压力集中区</t>
  </si>
  <si>
    <t>128K+</t>
  </si>
  <si>
    <t>超长上下文</t>
  </si>
  <si>
    <t>合计</t>
  </si>
  <si>
    <t>成功率 100%</t>
  </si>
  <si>
    <t>本阶段目标 · 验收关注 · 状态</t>
  </si>
  <si>
    <t>目标</t>
  </si>
  <si>
    <t>验收关注</t>
  </si>
  <si>
    <t>状态</t>
  </si>
  <si>
    <t>模型量化</t>
  </si>
  <si>
    <t>用 H200 BF16/FP8 历史数据量化吞吐和 TPOT 收益。</t>
  </si>
  <si>
    <t>PD 分离资源方案</t>
  </si>
  <si>
    <t>形成 H200 做 PD、H200 做 P、H20 做 D 的资源验证路径。</t>
  </si>
  <si>
    <t>待资源验证</t>
  </si>
  <si>
    <t>汇报材料</t>
  </si>
  <si>
    <t>把背景、量化结论、资源方案和数据来源写入 workbook。</t>
  </si>
  <si>
    <t>本任务补充</t>
  </si>
  <si>
    <t>7 项推理优化技术状态与汇报口径</t>
  </si>
  <si>
    <t>技术点 · 状态 · 汇报口径</t>
  </si>
  <si>
    <t>技术点</t>
  </si>
  <si>
    <t>已验证</t>
  </si>
  <si>
    <t>H200 FP8/BF16 已有数据，重点展示吞吐和 TPOT 收益</t>
  </si>
  <si>
    <t>KV Cache 量化</t>
  </si>
  <si>
    <t>有结论但缺系统数据</t>
  </si>
  <si>
    <t>fp8 可节省 KV 显存，fp4 因 H200 不支持暂不测</t>
  </si>
  <si>
    <t>Prefix/KV 命中</t>
  </si>
  <si>
    <t>需补测 prefix_ratio、命中率和 TTFT 下降比例</t>
  </si>
  <si>
    <t>投机解码</t>
  </si>
  <si>
    <t>待验证</t>
  </si>
  <si>
    <t>候选 token 数 1/3/5，关注 TPOT、接受率和高并发衰减</t>
  </si>
  <si>
    <t>PD 分离</t>
  </si>
  <si>
    <t>覆盖 H200 P+D、H200 P/H200 D、H200 P/H20 D</t>
  </si>
  <si>
    <t>MOE 专家并行</t>
  </si>
  <si>
    <t>按 GLM5.1/GLM5.2 FP8 部署口径申请资源</t>
  </si>
  <si>
    <t>连续批处理</t>
  </si>
  <si>
    <t>已具备无需独立测试</t>
  </si>
  <si>
    <t>框架原生支持，作为能力现状说明</t>
  </si>
  <si>
    <t>优先级矩阵 + 验证状态</t>
  </si>
  <si>
    <t>P0 · 近期落地 · 已有数据支撑</t>
  </si>
  <si>
    <t>技术项</t>
  </si>
  <si>
    <t>收益 / 现状</t>
  </si>
  <si>
    <t>风险 / 下一步</t>
  </si>
  <si>
    <t>FP8 模型量化</t>
  </si>
  <si>
    <t>32B/72B H200 历史数据已具备，吞吐 +30% 量级，TPOT 显著下降</t>
  </si>
  <si>
    <t>在线峰值/混部仍需复测</t>
  </si>
  <si>
    <t>框架原生支持，作为并发吞吐基线前提</t>
  </si>
  <si>
    <t>无独立测试项</t>
  </si>
  <si>
    <t>P1 · 重点验证 · 需资源/补测</t>
  </si>
  <si>
    <t>KV Cache 量化 (FP8)</t>
  </si>
  <si>
    <t>理论显存节省约 50%，需补齐端到端吞吐/延迟系统数据</t>
  </si>
  <si>
    <t>胡正升补测：TPS、TTFT、TPOT、显存水位</t>
  </si>
  <si>
    <t>机制结论明确，需 prefix_ratio/cache hit rate/TTFT 降幅系统数据</t>
  </si>
  <si>
    <t>胡正升补测：短/中/长 × 低/中/高并发</t>
  </si>
  <si>
    <t>可降低 TTFT、稳定 TPOT 并提升吞吐</t>
  </si>
  <si>
    <t>申请 H200+H20 异构资源跑端到端压测</t>
  </si>
  <si>
    <t>减少目标模型逐 token 调用，加速 decode</t>
  </si>
  <si>
    <t>候选 token 1/3/5 对比 + 接受率 + 高并发衰减</t>
  </si>
  <si>
    <t>P2 · 中期规划 · 资源到位后验证</t>
  </si>
  <si>
    <t>MOE 专家并行 (EP)</t>
  </si>
  <si>
    <t>大参数 MOE 在多卡切分下提升吞吐</t>
  </si>
  <si>
    <t>按 GLM5.1/GLM5.2 FP8 申请多卡资源</t>
  </si>
  <si>
    <t>FP8 / BF16 / INT 量化原理、收益、风险与框架支持</t>
  </si>
  <si>
    <t>原理简图</t>
  </si>
  <si>
    <t>BF16/FP16 权重与激活</t>
  </si>
  <si>
    <t>缩放因子/校准</t>
  </si>
  <si>
    <t>FP8/INT8/INT4 量化模型</t>
  </si>
  <si>
    <t>显存下降 / 吞吐提升</t>
  </si>
  <si>
    <t>→</t>
  </si>
  <si>
    <t>说明：该流程用于快速解释技术机制，详细参数与测试设计见下方表格。</t>
  </si>
  <si>
    <t>一、原理介绍</t>
  </si>
  <si>
    <t>维度</t>
  </si>
  <si>
    <t>原理</t>
  </si>
  <si>
    <t>代表框架/工具</t>
  </si>
  <si>
    <t>权重 / 激活量化</t>
  </si>
  <si>
    <t>把权重张量与激活张量从高精度（FP32/BF16/FP16）映射到低位宽（FP8/INT8/INT4）。FP8 常见两种格式：E4M3（4 位指数 + 3 位尾数，前向推理）与 E5M2（5 位指数 + 2 位尾数，梯度计算）。</t>
  </si>
  <si>
    <t>vLLM / TensorRT-LLM / LMDeploy / SGLang / DeepSpeed-MII</t>
  </si>
  <si>
    <t>量化校准</t>
  </si>
  <si>
    <t>Post-Training Quantization (PTQ) 通过少量校准样本统计激活分布，生成 per-tensor 或 per-channel 的缩放因子 (scale)；QAT 则在训练中模拟量化误差。</t>
  </si>
  <si>
    <t>TensorRT-LLM SmoothQuant / AWQ / GPTQ / AutoRound</t>
  </si>
  <si>
    <t>权重共享 (Weight-Only)</t>
  </si>
  <si>
    <t>仅量化权重张量，激活保持 FP16；显存下降但算力不变。适合对精度敏感的场景。</t>
  </si>
  <si>
    <t>AutoAWQ / AutoGPTQ / BitsAndBytes</t>
  </si>
  <si>
    <t>动态/静态量化</t>
  </si>
  <si>
    <t>动态量化在推理时计算 scale，静态量化使用校准集预计算 scale；动态精度更稳但开销略高。</t>
  </si>
  <si>
    <t>TensorRT / ONNX Runtime</t>
  </si>
  <si>
    <t>二、适用场景</t>
  </si>
  <si>
    <t>场景类型</t>
  </si>
  <si>
    <t>描述</t>
  </si>
  <si>
    <t>典型收益区间</t>
  </si>
  <si>
    <t>注意事项</t>
  </si>
  <si>
    <t>大参数 LLM 在线推理</t>
  </si>
  <si>
    <t>7B-72B+ 通用对话、客服、代码补全，H100/H200/B200 等硬件</t>
  </si>
  <si>
    <t>FP8 吞吐 +30%~50%，TPOT -20%~30%</t>
  </si>
  <si>
    <t>FP8 在 H200/B200 上原生支持，A100 仅支持 FP16</t>
  </si>
  <si>
    <t>长上下文推理</t>
  </si>
  <si>
    <t>32K-128K+ 上下文，对显存压力大</t>
  </si>
  <si>
    <t>权重 INT4 + 激活 FP8 可使 70B 模型单卡推理</t>
  </si>
  <si>
    <t>校准集需覆盖长尾分布</t>
  </si>
  <si>
    <t>离线批量生成</t>
  </si>
  <si>
    <t>夜间批量报告生成，可容忍轻微精度损失</t>
  </si>
  <si>
    <t>INT8/INT4 吞吐 +50%~100%</t>
  </si>
  <si>
    <t>建议离线评估后再上线</t>
  </si>
  <si>
    <t>边缘/端侧推理</t>
  </si>
  <si>
    <t>手机、嵌入式、车端</t>
  </si>
  <si>
    <t>INT4 权重 + 8bit 激活，模型体积降至 1/4</t>
  </si>
  <si>
    <t>需硬件 NPU 支持</t>
  </si>
  <si>
    <t>多模态推理</t>
  </si>
  <si>
    <t>图文、音视频等多模态</t>
  </si>
  <si>
    <t>ViT 部分 FP8，LLM 部分 INT8</t>
  </si>
  <si>
    <t>注意视觉编码器敏感度</t>
  </si>
  <si>
    <t>三、关键指标与验证方法</t>
  </si>
  <si>
    <t>指标</t>
  </si>
  <si>
    <t>含义</t>
  </si>
  <si>
    <t>测量工具</t>
  </si>
  <si>
    <t>方向</t>
  </si>
  <si>
    <t>历史/参考数据</t>
  </si>
  <si>
    <t>TPS / Tokens per Second</t>
  </si>
  <si>
    <t>系统级吞吐 (output tokens/s)，反映 token 工厂产能</t>
  </si>
  <si>
    <t>vLLM bench serve / TensorRT-LLM trtllm-bench</t>
  </si>
  <si>
    <t>越高越好</t>
  </si>
  <si>
    <t>BF16: 1769 → FP8: 2218 (32B +30.3%)</t>
  </si>
  <si>
    <t>TTFT (Time To First Token)</t>
  </si>
  <si>
    <t>首 token 延迟，含 prefill 与排队</t>
  </si>
  <si>
    <t>vLLM / TGI 监控埋点 / 自定义压测</t>
  </si>
  <si>
    <t>越低越好</t>
  </si>
  <si>
    <t>通常 FP8 不显著恶化 TTFT</t>
  </si>
  <si>
    <t>TPOT / 平均延迟</t>
  </si>
  <si>
    <t>每 token 输出时间，衡量 decode 速度</t>
  </si>
  <si>
    <t>同上；统计 P50/P95/P99</t>
  </si>
  <si>
    <t>BF16 TPOT=100% → FP8 ≈ 77.8%</t>
  </si>
  <si>
    <t>显存水位 (GPU mem util)</t>
  </si>
  <si>
    <t>峰值显存占用，决定并发上限</t>
  </si>
  <si>
    <t>nvidia-smi / vLLM gpu_cache_utilization</t>
  </si>
  <si>
    <t>FP8 权重显存 -50%</t>
  </si>
  <si>
    <t>精度损失 (Δ acc / ppl)</t>
  </si>
  <si>
    <t>困惑度或下游任务准确率变化</t>
  </si>
  <si>
    <t>lm-evaluation-harness / OpenCompass</t>
  </si>
  <si>
    <t>越小越好</t>
  </si>
  <si>
    <t>FP8 通常 Δppl &lt; 0.1</t>
  </si>
  <si>
    <t>量化敏感层</t>
  </si>
  <si>
    <t>个别层（如 attention output）可能敏感</t>
  </si>
  <si>
    <t>SmoothQuant / AWQ 工具分析</t>
  </si>
  <si>
    <t>需 mitigation</t>
  </si>
  <si>
    <t>关注 down_proj / out_proj</t>
  </si>
  <si>
    <t>四、历史数据汇总 (H200)</t>
  </si>
  <si>
    <t>模型</t>
  </si>
  <si>
    <t>BF16 吞吐</t>
  </si>
  <si>
    <t>FP8 吞吐</t>
  </si>
  <si>
    <t>吞吐提升</t>
  </si>
  <si>
    <t>TPOT (FP8/BF16)</t>
  </si>
  <si>
    <t>匹配样本数</t>
  </si>
  <si>
    <t>32B</t>
  </si>
  <si>
    <t>已有结论</t>
  </si>
  <si>
    <t>72B</t>
  </si>
  <si>
    <t>五、优势 vs 风险</t>
  </si>
  <si>
    <t>优势</t>
  </si>
  <si>
    <t>具体表现</t>
  </si>
  <si>
    <t>风险/挑战</t>
  </si>
  <si>
    <t>缓解方案</t>
  </si>
  <si>
    <t>显存显著下降</t>
  </si>
  <si>
    <t>FP8 权重显存相比 BF16 下降约 50%</t>
  </si>
  <si>
    <t>精度损失</t>
  </si>
  <si>
    <t>PTQ 校准 + SmoothQuant + 敏感层回退 BF16</t>
  </si>
  <si>
    <t>吞吐明显提升</t>
  </si>
  <si>
    <t>32B +30.3%, 72B +32.4%（H200）</t>
  </si>
  <si>
    <t>校准集与线上分布差异</t>
  </si>
  <si>
    <t>定期重校准、监控 ppl 漂移</t>
  </si>
  <si>
    <t>TPOT 下降</t>
  </si>
  <si>
    <t>FP8 TPOT 约为 BF16 的 77.8%</t>
  </si>
  <si>
    <t>硬件支持差异</t>
  </si>
  <si>
    <t>H100 不支持 E4M3，需 BF16 或 FP8-E5M2</t>
  </si>
  <si>
    <t>易于落地</t>
  </si>
  <si>
    <t>框架原生支持，无需重训</t>
  </si>
  <si>
    <t>INT4 需 QAT 或强 PTQ 工具</t>
  </si>
  <si>
    <t>AWQ/GPTQ/AutoRound 三选一</t>
  </si>
  <si>
    <t>六、框架支持一览</t>
  </si>
  <si>
    <t>框架</t>
  </si>
  <si>
    <t>量化能力</t>
  </si>
  <si>
    <t>成熟度</t>
  </si>
  <si>
    <t>vLLM</t>
  </si>
  <si>
    <t>原生 FP8 (E4M3/E5M2) on H100/H200/B200，BF16 基线</t>
  </si>
  <si>
    <t>成熟</t>
  </si>
  <si>
    <t>TensorRT-LLM</t>
  </si>
  <si>
    <t>完整 FP8/INT8/INT4 + SmoothQuant + AWQ + GPTQ</t>
  </si>
  <si>
    <t>LMDeploy</t>
  </si>
  <si>
    <t>FP8/INT4 量化 + TurboMind 推理引擎</t>
  </si>
  <si>
    <t>SGLang</t>
  </si>
  <si>
    <t>FP8 支持，端到端 RLHF/agent 友好</t>
  </si>
  <si>
    <t>DeepSpeed-MII</t>
  </si>
  <si>
    <t>FP6/FP8/INT8 量化，DeepSpeed 生态</t>
  </si>
  <si>
    <t>较成熟</t>
  </si>
  <si>
    <t>TGI</t>
  </si>
  <si>
    <t>FP8 bitsandbytes 量化</t>
  </si>
  <si>
    <t>中等</t>
  </si>
  <si>
    <t>MLC-LLM</t>
  </si>
  <si>
    <t>端侧 INT4 量化 + 编译</t>
  </si>
  <si>
    <t>成熟(端侧)</t>
  </si>
  <si>
    <t>FasterTransformer</t>
  </si>
  <si>
    <t>FP16/INT8 (TensorRT)</t>
  </si>
  <si>
    <t>LightLLM</t>
  </si>
  <si>
    <t>FP8/INT8 推理</t>
  </si>
  <si>
    <t>OpenLLM</t>
  </si>
  <si>
    <t>bitsandbytes INT4/INT8</t>
  </si>
  <si>
    <t>KV Cache 量化 原理与方案</t>
  </si>
  <si>
    <t>FP8/FP16 KV Cache 显存优化与延迟影响</t>
  </si>
  <si>
    <t>FP16/BF16 KV</t>
  </si>
  <si>
    <t>Scale 因子</t>
  </si>
  <si>
    <t>FP8 KV (H200 支持)</t>
  </si>
  <si>
    <t>FP4 KV (H200 不支持)</t>
  </si>
  <si>
    <t>说明：FP4 因 H200 硬件不支持，本期暂不纳入测试矩阵。</t>
  </si>
  <si>
    <t>代表实现</t>
  </si>
  <si>
    <t>KV Cache 基础</t>
  </si>
  <si>
    <t>Decoder 每生成一个 token 需缓存所有历史 token 的 Key 和 Value 向量。序列长度 S、batch B、层数 L、头维 H 时，KV 大小为 2·B·S·L·H·sizeof(dtype)。</t>
  </si>
  <si>
    <t>vLLM PagedAttention / SGLang RadixAttention</t>
  </si>
  <si>
    <t>将 K 与 V 张量从 FP16 (2 字节) 量化到 FP8 (1 字节) 或 INT8 (1 字节)，显存下降 50%。需为 K 与 V 分别维护 per-token/per-head 的 scale 因子。</t>
  </si>
  <si>
    <t>TensorRT-LLM / LMDeploy / vLLM</t>
  </si>
  <si>
    <t>量化时机</t>
  </si>
  <si>
    <t>Online 量化：每生成一步立即量化当前 KV。Offline 量化：仅量化历史 KV 块。两种方式都需 attention 计算时反量化回 FP16/FP8 内核精度。</t>
  </si>
  <si>
    <t>vLLM FP8 KV / TRT-LLM KV cache quantization</t>
  </si>
  <si>
    <t>量化策略</t>
  </si>
  <si>
    <t>Per-token：每个 token 一个 scale，对激活分布变化鲁棒。Per-tensor：所有 token 共享 scale，实现简单但精度差。</t>
  </si>
  <si>
    <t>TensorRT-LLM 默认 per-token</t>
  </si>
  <si>
    <t>场景</t>
  </si>
  <si>
    <t>典型收益</t>
  </si>
  <si>
    <t>长上下文对话</t>
  </si>
  <si>
    <t>32K-128K+ 上下文，KV 显存主导 batch size</t>
  </si>
  <si>
    <t>单卡 batch +50%~100%，显存 -50%</t>
  </si>
  <si>
    <t>长上下文 attention 算力仍高</t>
  </si>
  <si>
    <t>高并发 chat</t>
  </si>
  <si>
    <t>短上下文但并发数大</t>
  </si>
  <si>
    <t>提升单 GPU 支持的并发请求数</t>
  </si>
  <si>
    <t>需注意 batch 调度开销</t>
  </si>
  <si>
    <t>多轮对话</t>
  </si>
  <si>
    <t>多轮 prefix 复用 + 长 KV</t>
  </si>
  <si>
    <t>结合 prefix 缓存进一步降显存</t>
  </si>
  <si>
    <t>需框架支持 KV 共享</t>
  </si>
  <si>
    <t>MOE 大模型</t>
  </si>
  <si>
    <t>参数大 + 长 KV</t>
  </si>
  <si>
    <t>KV 量化降低单请求显存</t>
  </si>
  <si>
    <t>可能与 EP 并行产生带宽竞争</t>
  </si>
  <si>
    <t>参考</t>
  </si>
  <si>
    <t>系统级吞吐</t>
  </si>
  <si>
    <t>vLLM bench / TRT-LLM bench</t>
  </si>
  <si>
    <t>FP8 KV 通常对 TPS 中性或略升</t>
  </si>
  <si>
    <t>TTFT</t>
  </si>
  <si>
    <t>首 token 延迟（prefill 阶段）</t>
  </si>
  <si>
    <t>vLLM 监控</t>
  </si>
  <si>
    <t>KV 量化对 prefill 影响较小</t>
  </si>
  <si>
    <t>TPOT / Decode 平均延迟</t>
  </si>
  <si>
    <t>每 token 时间</t>
  </si>
  <si>
    <t>同上</t>
  </si>
  <si>
    <t>解码阶段 attention 计算需 dequant</t>
  </si>
  <si>
    <t>KV 显存占用</t>
  </si>
  <si>
    <t>GPU mem 峰值</t>
  </si>
  <si>
    <t>nvidia-smi / gpu_cache_util</t>
  </si>
  <si>
    <t>FP8 KV 节省 ~50%</t>
  </si>
  <si>
    <t>gpu_cache_utilization</t>
  </si>
  <si>
    <t>vLLM 内部 KV cache 使用率</t>
  </si>
  <si>
    <t>vLLM Prometheus</t>
  </si>
  <si>
    <t>合理区间 0.6-0.9</t>
  </si>
  <si>
    <t>过低 = batch 不满，过高 = OOM 风险</t>
  </si>
  <si>
    <t>PPL / 精度</t>
  </si>
  <si>
    <t>语言模型困惑度</t>
  </si>
  <si>
    <t>lm-evaluation-harness</t>
  </si>
  <si>
    <t>FP8 KV 通常 Δppl &lt; 0.05</t>
  </si>
  <si>
    <t>四、框架支持与代表能力</t>
  </si>
  <si>
    <t>KV 量化能力</t>
  </si>
  <si>
    <t>KV cache FP8 量化、per-token scale</t>
  </si>
  <si>
    <t>FP8 KV cache (H100/H200/B200)</t>
  </si>
  <si>
    <t>FP8 KV + TurboMind 引擎</t>
  </si>
  <si>
    <t>FP8 KV + RadixAttention</t>
  </si>
  <si>
    <t>FP8 KV (bitsandbytes)</t>
  </si>
  <si>
    <t>FP6/FP8 KV</t>
  </si>
  <si>
    <t>FP8 KV</t>
  </si>
  <si>
    <t>INT8 KV (TensorRT)</t>
  </si>
  <si>
    <t>端侧 FP16 KV</t>
  </si>
  <si>
    <t>FP16 KV (依赖 transformers)</t>
  </si>
  <si>
    <t>五、补测建议矩阵</t>
  </si>
  <si>
    <t>上下文分桶</t>
  </si>
  <si>
    <t>并发档位</t>
  </si>
  <si>
    <t>测试目的</t>
  </si>
  <si>
    <t>分组</t>
  </si>
  <si>
    <t>短上下文(2K-8K)</t>
  </si>
  <si>
    <t>低/中/高</t>
  </si>
  <si>
    <t>基线对比</t>
  </si>
  <si>
    <t>A 组</t>
  </si>
  <si>
    <t>中上下文(8K-32K)</t>
  </si>
  <si>
    <t>batch 容量</t>
  </si>
  <si>
    <t>B 组</t>
  </si>
  <si>
    <t>长上下文(32K-128K)</t>
  </si>
  <si>
    <t>低/中</t>
  </si>
  <si>
    <t>显存压力测试</t>
  </si>
  <si>
    <t>C 组</t>
  </si>
  <si>
    <t>前缀复用 / 缓存命中 / TTFT 降幅机制</t>
  </si>
  <si>
    <t>共享前缀</t>
  </si>
  <si>
    <t>说明：自动识别多请求的公共前缀（系统提示、工具定义、few-shot 示例），跳过重复 prefill 计算。</t>
  </si>
  <si>
    <t>前缀识别</t>
  </si>
  <si>
    <t>对输入 prompt 的前缀片段计算 hash（token 序列 hash 或 trie 树匹配），识别多个请求共享的公共前缀。</t>
  </si>
  <si>
    <t>vLLM Automatic Prefix Caching / SGLang RadixAttention / LMDeploy</t>
  </si>
  <si>
    <t>KV 复用机制</t>
  </si>
  <si>
    <t>在调度器内为每个 prefix block 维护 KV 引用计数，命中则直接复用历史 KV，跳过 prefill。</t>
  </si>
  <si>
    <t>vLLM PagedAttention Block Table</t>
  </si>
  <si>
    <t>匹配粒度</t>
  </si>
  <si>
    <t>Block 级（通常 16 token 一块）而非 token 级，避免哈希碎裂。</t>
  </si>
  <si>
    <t>vLLM block_size=16</t>
  </si>
  <si>
    <t>缓存管理</t>
  </si>
  <si>
    <t>LRU/ARC 策略淘汰冷 prefix；GPU 显存不足时降级到 CPU 内存或磁盘。</t>
  </si>
  <si>
    <t>vLLM enable_prefix_caching + gpu_cache_utilization</t>
  </si>
  <si>
    <t>多模态扩展</t>
  </si>
  <si>
    <t>图片/音频 prefix 也可缓存，hash 算法扩展为 multimodal embedding。</t>
  </si>
  <si>
    <t>SGLang 多模态 prefix</t>
  </si>
  <si>
    <t>系统提示 + 历史对话作为公共前缀</t>
  </si>
  <si>
    <t>TTFT 降低 50%~80%（高 prefix 命中时）</t>
  </si>
  <si>
    <t>需保证 prompt 模板一致</t>
  </si>
  <si>
    <t>Agent / Tool 多次调用</t>
  </si>
  <si>
    <t>工具定义 + system prompt 固定</t>
  </si>
  <si>
    <t>重复调用时几乎零 prefill</t>
  </si>
  <si>
    <t>工具 schema 变化会失效</t>
  </si>
  <si>
    <t>Few-shot / RAG 模板</t>
  </si>
  <si>
    <t>大量固定示例 + query 变化</t>
  </si>
  <si>
    <t>示例越长，节省越显著</t>
  </si>
  <si>
    <t>RAG 检索结果放 query 末尾</t>
  </si>
  <si>
    <t>批量相似请求</t>
  </si>
  <si>
    <t>营销文案批量生成、报告生成</t>
  </si>
  <si>
    <t>GPU 利用率显著提升</t>
  </si>
  <si>
    <t>相似度阈值需调优</t>
  </si>
  <si>
    <t>Cache Hit Rate</t>
  </si>
  <si>
    <t>prefix 块命中率（block 级或 token 级）</t>
  </si>
  <si>
    <t>vLLM metrics / Prometheus</t>
  </si>
  <si>
    <t>工服场景 30%~70% 较常见</t>
  </si>
  <si>
    <t>Prefix Ratio</t>
  </si>
  <si>
    <t>平均 prompt 中公共前缀占比</t>
  </si>
  <si>
    <t>离线统计</t>
  </si>
  <si>
    <t>与 system prompt 长度相关</t>
  </si>
  <si>
    <t>首 token 延迟</t>
  </si>
  <si>
    <t>vLLM monitor</t>
  </si>
  <si>
    <t>命中后 TTFT 接近 decode-only</t>
  </si>
  <si>
    <t>TPS / 吞吐</t>
  </si>
  <si>
    <t>系统级 output tokens/s</t>
  </si>
  <si>
    <t>bench</t>
  </si>
  <si>
    <t>高命中 + 高并发效果最佳</t>
  </si>
  <si>
    <t>GPU cache utilization</t>
  </si>
  <si>
    <t>prefix KV 块显存占比</t>
  </si>
  <si>
    <t>vLLM metric</t>
  </si>
  <si>
    <t>0.6-0.9 合理</t>
  </si>
  <si>
    <t>过高 = 淘汰频繁</t>
  </si>
  <si>
    <t>显存复用率</t>
  </si>
  <si>
    <t>实际节省显存 / 理论最大</t>
  </si>
  <si>
    <t>自定义指标</t>
  </si>
  <si>
    <t>显存复用 ≠ 算力复用</t>
  </si>
  <si>
    <t>四、框架支持一览</t>
  </si>
  <si>
    <t>能力</t>
  </si>
  <si>
    <t>enable_prefix_caching=true，PagedAttention Block Table</t>
  </si>
  <si>
    <t>RadixAttention (Radix Tree prefix cache)</t>
  </si>
  <si>
    <t>Prefix cache + TurboMind</t>
  </si>
  <si>
    <t>KV cache reuse (in-flight batching)</t>
  </si>
  <si>
    <t>concat prompt + KV cache 复用</t>
  </si>
  <si>
    <t>前缀 cache 简化版</t>
  </si>
  <si>
    <t>prefix caching</t>
  </si>
  <si>
    <t>无内置 prefix cache</t>
  </si>
  <si>
    <t>不支持</t>
  </si>
  <si>
    <t>本地 prefix cache (端侧)</t>
  </si>
  <si>
    <t>依赖 transformers，无内置</t>
  </si>
  <si>
    <t>五、补测矩阵</t>
  </si>
  <si>
    <t>Prefix 分桶</t>
  </si>
  <si>
    <t>低 prefix_ratio (0%~20%)</t>
  </si>
  <si>
    <t>1/4/8</t>
  </si>
  <si>
    <t>对照基线</t>
  </si>
  <si>
    <t>中 prefix_ratio (20%~60%)</t>
  </si>
  <si>
    <t>1/4/8/16</t>
  </si>
  <si>
    <t>验证 hit rate</t>
  </si>
  <si>
    <t xml:space="preserve">高 prefix_ratio (60%+) </t>
  </si>
  <si>
    <t>4/8/16/32</t>
  </si>
  <si>
    <t>验证 TTFT 收益</t>
  </si>
  <si>
    <t>多轮对话 + 高并发</t>
  </si>
  <si>
    <t>8/16/32</t>
  </si>
  <si>
    <t>稳定性 + 显存</t>
  </si>
  <si>
    <t>Draft/Verify 机制、接受率与候选数影响</t>
  </si>
  <si>
    <t>Draft 候选 K tokens</t>
  </si>
  <si>
    <t>说明：Draft 模型（小模型或 n-gram）快速生成 K 个候选 token，目标模型 1 次前向验证批量接受/拒绝。</t>
  </si>
  <si>
    <t>Draft 模型</t>
  </si>
  <si>
    <t>小型 LM（如 0.5B/1B）与目标模型同 tokenizer，输出 K 个候选 token；速度快于目标模型 5-10 倍。</t>
  </si>
  <si>
    <t>Medusa / EAGLE / Lookahead Decoding</t>
  </si>
  <si>
    <t>目标模型 Verify</t>
  </si>
  <si>
    <t>目标模型一次前向计算 K 个 token 的联合概率，与 draft 概率对比，接受前缀或全部拒绝。</t>
  </si>
  <si>
    <t>Speculative Sampling 算法 (Leviathan et al. 2023)</t>
  </si>
  <si>
    <t>接受率 (Acceptance Rate)</t>
  </si>
  <si>
    <t>K 个候选中被目标模型接受的平均比例，决定收益大小。一般 0.3-0.8。</t>
  </si>
  <si>
    <t>α · min(1, p_target/p_draft)</t>
  </si>
  <si>
    <t>候选数 K 影响</t>
  </si>
  <si>
    <t>K 太小 → draft 收益不足；K 太大 → 接受率下降，整体收益曲线呈倒 U。最佳 K 通常 4-8。</t>
  </si>
  <si>
    <t>工程经验 + benchmark</t>
  </si>
  <si>
    <t>Self-Speculative</t>
  </si>
  <si>
    <t>无需额外 draft 模型，目标模型本身不同层或 early-exit 输出作为 draft。</t>
  </si>
  <si>
    <t>EAGLE / EAGLE-2 / Medusa</t>
  </si>
  <si>
    <t>低并发低延迟对话</t>
  </si>
  <si>
    <t>目标 TTFT 严格，TPOT 要求低</t>
  </si>
  <si>
    <t>TPOT -30%~50%，接受率 &gt;0.6 时</t>
  </si>
  <si>
    <t>高并发下接受率会下降</t>
  </si>
  <si>
    <t>批量离线生成</t>
  </si>
  <si>
    <t>可容忍高 draft 开销</t>
  </si>
  <si>
    <t>整体 wall time -40%~60%</t>
  </si>
  <si>
    <t>draft 显存需考虑</t>
  </si>
  <si>
    <t>代码补全</t>
  </si>
  <si>
    <t>上下文结构化，draft 易命中</t>
  </si>
  <si>
    <t>接受率显著高于通用对话</t>
  </si>
  <si>
    <t>适合 n-gram draft</t>
  </si>
  <si>
    <t>工具调用</t>
  </si>
  <si>
    <t>结构化输出，重复模板多</t>
  </si>
  <si>
    <t>Self-Spec + 模板化 draft</t>
  </si>
  <si>
    <t>schema 变化需重训</t>
  </si>
  <si>
    <t>Acceptance Rate</t>
  </si>
  <si>
    <t>draft token 被接受的平均比例</t>
  </si>
  <si>
    <t>vLLM speculative / EAGLE log</t>
  </si>
  <si>
    <t>工服目标 &gt;0.5</t>
  </si>
  <si>
    <t>TPOT</t>
  </si>
  <si>
    <t>每 token 输出时间</t>
  </si>
  <si>
    <t>通常 -30%~50%</t>
  </si>
  <si>
    <t>TPS</t>
  </si>
  <si>
    <t>系统吞吐</t>
  </si>
  <si>
    <t>K=5 收益最大时 TPS +50%</t>
  </si>
  <si>
    <t>Mean Accepted Tokens</t>
  </si>
  <si>
    <t>每次 verify 平均接受的 token 数</t>
  </si>
  <si>
    <t>≈ K × acceptance</t>
  </si>
  <si>
    <t>Draft Overhead</t>
  </si>
  <si>
    <t>draft 模型额外开销</t>
  </si>
  <si>
    <t>GPU profile</t>
  </si>
  <si>
    <t>&lt; 目标模型 10%</t>
  </si>
  <si>
    <t>draft 不影响 prefill</t>
  </si>
  <si>
    <t>Speculative Decoding (n-gram / draft model)</t>
  </si>
  <si>
    <t>DRAFT_MODEL_SPECULATIVE_DECODING + Medusa + EAGLE</t>
  </si>
  <si>
    <t>EAGLE / EAGLE-2</t>
  </si>
  <si>
    <t>投机解码 (实验性)</t>
  </si>
  <si>
    <t>支持 text-generation-inference 的 assisted decoding</t>
  </si>
  <si>
    <t>DeepSpeed-FastGen 集成</t>
  </si>
  <si>
    <t>基础投机解码</t>
  </si>
  <si>
    <t>Draft-Target speculative</t>
  </si>
  <si>
    <t>依赖 transformers-assisted-generation</t>
  </si>
  <si>
    <t>五、候选数 K 影响曲线（理论）</t>
  </si>
  <si>
    <t>候选 K</t>
  </si>
  <si>
    <t>平均接受 token (α=0.6)</t>
  </si>
  <si>
    <t>单次 Verify 节省</t>
  </si>
  <si>
    <t>TPOT 相对降低</t>
  </si>
  <si>
    <t>draft 额外开销</t>
  </si>
  <si>
    <t>建议</t>
  </si>
  <si>
    <t>1×目标时间 / 0.6 = 1.67×</t>
  </si>
  <si>
    <t>无显著收益</t>
  </si>
  <si>
    <t>小</t>
  </si>
  <si>
    <t>基线对照</t>
  </si>
  <si>
    <t>3×目标 / 1.8 = 1.67×</t>
  </si>
  <si>
    <t>TPOT -25%~35%</t>
  </si>
  <si>
    <t>推荐起点</t>
  </si>
  <si>
    <t>5×目标 / 3.0 = 1.67×</t>
  </si>
  <si>
    <t>TPOT -35%~50%</t>
  </si>
  <si>
    <t>中</t>
  </si>
  <si>
    <t>最佳区间</t>
  </si>
  <si>
    <t>8×目标 / 4.8 = 1.67×</t>
  </si>
  <si>
    <t>TPOT -40%~55%</t>
  </si>
  <si>
    <t>接受率敏感</t>
  </si>
  <si>
    <t>12×目标 / 7.2 = 1.67×</t>
  </si>
  <si>
    <t>TPOT -45%~60%</t>
  </si>
  <si>
    <t>较大</t>
  </si>
  <si>
    <t>接受率 &lt;0.5 慎用</t>
  </si>
  <si>
    <t>Prefill/Decode 解耦与异构资源验证</t>
  </si>
  <si>
    <t>Prefill(H200)</t>
  </si>
  <si>
    <t>说明：分离 Prefill（计算密集）和 Decode（显存带宽密集），按资源特性分别扩容。</t>
  </si>
  <si>
    <t>两阶段拆分</t>
  </si>
  <si>
    <t>Prefill 处理完整输入序列（计算密集，OOM 不敏感），Decode 逐 token 生成（显存带宽密集）。两者时间特性、硬件需求差异巨大。</t>
  </si>
  <si>
    <t>DistServe / Splitwise / vLLM disaggregation</t>
  </si>
  <si>
    <t>KV 传输</t>
  </si>
  <si>
    <t>Prefill 完成后 KV 通过 RDMA/InfiniBand/NVLink 传输到 Decode 节点。需稳定的低延迟高带宽互联。</t>
  </si>
  <si>
    <t>Mooncake / Transfer Engine / NCCL</t>
  </si>
  <si>
    <t>资源匹配</t>
  </si>
  <si>
    <t>Prefill 偏好高算力高带宽 GPU（H200/B200），Decode 偏好显存大或性价比高的 GPU（H20/L40S/A100）。</t>
  </si>
  <si>
    <t>H200 做 P、H20 做 D</t>
  </si>
  <si>
    <t>调度策略</t>
  </si>
  <si>
    <t>中央调度器维护 Prefill/Decode 实例池，根据请求负载动态分配。</t>
  </si>
  <si>
    <t>DistServe Scheduler / Mooncake</t>
  </si>
  <si>
    <t>收益来源</t>
  </si>
  <si>
    <t>消除 Prefill-Decode 互相干扰、TTFT 显著下降、Decode 显存充分利用、整体吞吐提升。</t>
  </si>
  <si>
    <t>实测 -30%~50% TTFT</t>
  </si>
  <si>
    <t>大参数 + 长上下文</t>
  </si>
  <si>
    <t>72B/175B 模型 + 32K+ 上下文</t>
  </si>
  <si>
    <t>TTFT -30%~60%</t>
  </si>
  <si>
    <t>KV 传输带宽是瓶颈</t>
  </si>
  <si>
    <t>高并发在线推理</t>
  </si>
  <si>
    <t>并发请求数多</t>
  </si>
  <si>
    <t>吞吐 +30%~80%</t>
  </si>
  <si>
    <t>调度器是单点风险</t>
  </si>
  <si>
    <t>异构资源利用</t>
  </si>
  <si>
    <t>已有 H200+H20 异构资源</t>
  </si>
  <si>
    <t>高带宽 H200 给 P，性价比 H20 给 D</t>
  </si>
  <si>
    <t>需详细成本测算</t>
  </si>
  <si>
    <t>峰值削峰</t>
  </si>
  <si>
    <t>业务有明显时段峰值</t>
  </si>
  <si>
    <t>Prefill 实例弹性扩缩</t>
  </si>
  <si>
    <t>跨实例 KV cache 复用受限</t>
  </si>
  <si>
    <t>解耦后典型 -30%~60%</t>
  </si>
  <si>
    <t>decode 平均延迟</t>
  </si>
  <si>
    <t>decode 实例独占，波动降低</t>
  </si>
  <si>
    <t>End-to-End TPS</t>
  </si>
  <si>
    <t>输出 tokens/s</t>
  </si>
  <si>
    <t>+30%~80%</t>
  </si>
  <si>
    <t>KV Transfer Time</t>
  </si>
  <si>
    <t>跨实例 KV 传输耗时</t>
  </si>
  <si>
    <t>Mooncake 监控</t>
  </si>
  <si>
    <t>&lt; 50ms 为佳</t>
  </si>
  <si>
    <t>带宽占用</t>
  </si>
  <si>
    <t>跨节点带宽利用率</t>
  </si>
  <si>
    <t>nvidia-smi / nccl-tests</t>
  </si>
  <si>
    <t>饱和度 60-80%</t>
  </si>
  <si>
    <t>过高需扩互联</t>
  </si>
  <si>
    <t>调度延迟</t>
  </si>
  <si>
    <t>调度器决策延迟</t>
  </si>
  <si>
    <t>自定义</t>
  </si>
  <si>
    <t>&lt; 5ms</t>
  </si>
  <si>
    <t>Decode 实例利用率</t>
  </si>
  <si>
    <t>SM 活跃度</t>
  </si>
  <si>
    <t>DCGM</t>
  </si>
  <si>
    <t>70%+ 视为健康</t>
  </si>
  <si>
    <t>四、优势 vs 风险</t>
  </si>
  <si>
    <t>TTFT 显著下降</t>
  </si>
  <si>
    <t>Prefill 独占资源，无 decode 干扰</t>
  </si>
  <si>
    <t>KV 传输延迟</t>
  </si>
  <si>
    <t>RDMA/NVLink + 预热</t>
  </si>
  <si>
    <t>整体吞吐提升</t>
  </si>
  <si>
    <t>Prefill/Decode 各自最优配置</t>
  </si>
  <si>
    <t>调度器复杂</t>
  </si>
  <si>
    <t>中央调度 + 健康检查</t>
  </si>
  <si>
    <t>资源异构</t>
  </si>
  <si>
    <t>H200+H20 灵活组合</t>
  </si>
  <si>
    <t>部署运维复杂</t>
  </si>
  <si>
    <t>K8s + 监控告警</t>
  </si>
  <si>
    <t>可扩展性</t>
  </si>
  <si>
    <t>Prefill/Decode 池独立扩缩容</t>
  </si>
  <si>
    <t>故障域扩大</t>
  </si>
  <si>
    <t>多副本 + 一致性 hash</t>
  </si>
  <si>
    <t>Disaggregated Serving (实验性)</t>
  </si>
  <si>
    <t>Disaggregated Serving (Triton + TRT-LLM)</t>
  </si>
  <si>
    <t>Disaggregated Inference (RadixAttention)</t>
  </si>
  <si>
    <t>DistServe</t>
  </si>
  <si>
    <t>学术原型，源自 Microsoft</t>
  </si>
  <si>
    <t>Mooncake</t>
  </si>
  <si>
    <t>Moonshot AI 开源，KV 传输优化</t>
  </si>
  <si>
    <t>无原生 PD 分离</t>
  </si>
  <si>
    <t>实验性</t>
  </si>
  <si>
    <t>无原生</t>
  </si>
  <si>
    <t>无</t>
  </si>
  <si>
    <t>七、验证顺序</t>
  </si>
  <si>
    <t>阶段</t>
  </si>
  <si>
    <t>方案</t>
  </si>
  <si>
    <t>目的</t>
  </si>
  <si>
    <t>基线</t>
  </si>
  <si>
    <t>H200 做 PD（同一类资源同时承担 P+D）</t>
  </si>
  <si>
    <t>建立基线</t>
  </si>
  <si>
    <t>同构分离</t>
  </si>
  <si>
    <t>H200 做 P、H200 做 D</t>
  </si>
  <si>
    <t>验证调度收益</t>
  </si>
  <si>
    <t>异构方案</t>
  </si>
  <si>
    <t>验证异构收益</t>
  </si>
  <si>
    <t>异构扩展</t>
  </si>
  <si>
    <t>H200 P×2 + H20 D×4</t>
  </si>
  <si>
    <t>验证弹性扩缩容</t>
  </si>
  <si>
    <t>Router / EP / All2All / 跨卡通信优化</t>
  </si>
  <si>
    <t>Token</t>
  </si>
  <si>
    <t>Router</t>
  </si>
  <si>
    <t>多 GPU Experts</t>
  </si>
  <si>
    <t>All2All 聚合</t>
  </si>
  <si>
    <t>说明：MOE 模型将 token 通过 Router 路由到不同专家，专家分布在多 GPU 上执行，最后跨卡聚合。</t>
  </si>
  <si>
    <t>MOE 基础</t>
  </si>
  <si>
    <t>每个 FFN 层替换为 N 个专家（如 8/16/64/128），每个 token 经 Router 选择 Top-K（如 2/4/8）个专家计算。相比 Dense 模型，参数总量大幅增加但 FLOPs 仅小幅上升。</t>
  </si>
  <si>
    <t>Mixtral / DeepSeek-MoE / GLM5.1/GLM5.2</t>
  </si>
  <si>
    <t>专家并行 (EP)</t>
  </si>
  <si>
    <t>将不同专家切分到不同 GPU，每张 GPU 仅持有部分专家。前向时 token 经 Router 路由后通过 All2All 通信交换到对应专家 GPU。</t>
  </si>
  <si>
    <t>DeepSpeed MoE / Megatron-LM EP / Tutel</t>
  </si>
  <si>
    <t>Router 设计</t>
  </si>
  <si>
    <t>常见 Router：Top-K 路由（每个 token 选 K 个专家）、Hash 路由、Expert Choice。GLM 系列多用 Top-K。</t>
  </si>
  <si>
    <t>Switch Transformer / GShard</t>
  </si>
  <si>
    <t>All2All 通信</t>
  </si>
  <si>
    <t>token 在 GPU 间交换，通信量 O(batch × seq × hidden × top_k / experts_per_gpu)。带宽是瓶颈，RDMA/NVLink 必不可少。</t>
  </si>
  <si>
    <t>NCCL All2All / Triton-distributed</t>
  </si>
  <si>
    <t>负载均衡</t>
  </si>
  <si>
    <t>专家利用率不均会导致 GPU 空转。辅助 loss、Router z-loss、Expert Capacity 等机制强制均衡。</t>
  </si>
  <si>
    <t>DeepSeek-MoE / Mixtral</t>
  </si>
  <si>
    <t>EP × TP × PP</t>
  </si>
  <si>
    <t>生产中常用 EP+TP 或 EP+TP+PP 三维并行。EP 维度通常 8/16/32，TP 维度 2/4/8。</t>
  </si>
  <si>
    <t>Megatron-LM / DeepSpeed-MoE</t>
  </si>
  <si>
    <t>超大规模 MOE 模型</t>
  </si>
  <si>
    <t>Mixtral 8x22B / GLM5.1/5.2 / DeepSeek-V3</t>
  </si>
  <si>
    <t>参数大但激活小，推理便宜</t>
  </si>
  <si>
    <t>需评估 FP8 EP 精度</t>
  </si>
  <si>
    <t>用消费级 GPU 组 EP 集群</t>
  </si>
  <si>
    <t>降低成本</t>
  </si>
  <si>
    <t>All2All 带宽限制</t>
  </si>
  <si>
    <t>低延迟高并发</t>
  </si>
  <si>
    <t>通过专家并行降低单请求延迟</t>
  </si>
  <si>
    <t>EP 可与 TP 叠加</t>
  </si>
  <si>
    <t>跨机延迟敏感</t>
  </si>
  <si>
    <t>Agent / 长上下文</t>
  </si>
  <si>
    <t>MOE 大模型 + prefix 缓存</t>
  </si>
  <si>
    <t>复用 prefix 降低 prefill</t>
  </si>
  <si>
    <t>prefix cache 与 EP 共享复杂度高</t>
  </si>
  <si>
    <t>EP 通常 +30%~80%</t>
  </si>
  <si>
    <t>monitor</t>
  </si>
  <si>
    <t>EP 增加跨机延迟</t>
  </si>
  <si>
    <t>All2All 是主要瓶颈</t>
  </si>
  <si>
    <t>All2All 时延</t>
  </si>
  <si>
    <t>跨卡 token 交换耗时</t>
  </si>
  <si>
    <t>NCCL profile</t>
  </si>
  <si>
    <t>&lt; 5ms 为佳</t>
  </si>
  <si>
    <t>专家利用率</t>
  </si>
  <si>
    <t>各专家被选中的均匀度</t>
  </si>
  <si>
    <t>0.6-0.9</t>
  </si>
  <si>
    <t>过低 = 浪费</t>
  </si>
  <si>
    <t>负载均衡 Loss</t>
  </si>
  <si>
    <t>辅助 loss 监控</t>
  </si>
  <si>
    <t>训练日志</t>
  </si>
  <si>
    <t>0.01-0.05 合理</t>
  </si>
  <si>
    <t>跨卡带宽占用</t>
  </si>
  <si>
    <t>NVLink/RDMA 占用率</t>
  </si>
  <si>
    <t>饱和度 &lt;80%</t>
  </si>
  <si>
    <t>过高需重构并行</t>
  </si>
  <si>
    <t>参数规模大</t>
  </si>
  <si>
    <t>可承载千亿/万亿参数，单 token 激活小</t>
  </si>
  <si>
    <t>通信开销</t>
  </si>
  <si>
    <t>高带宽互联 + 通信压缩</t>
  </si>
  <si>
    <t>推理吞吐高</t>
  </si>
  <si>
    <t>EP 后吞吐显著提升</t>
  </si>
  <si>
    <t>负载不均</t>
  </si>
  <si>
    <t>辅助 loss + Capacity factor</t>
  </si>
  <si>
    <t>可扩展性强</t>
  </si>
  <si>
    <t>通过增加 GPU 数量横向扩展</t>
  </si>
  <si>
    <t>部署复杂</t>
  </si>
  <si>
    <t>K8s + 监控 + 健康检查</t>
  </si>
  <si>
    <t>支持混合精度</t>
  </si>
  <si>
    <t>FP8 EP 已成熟</t>
  </si>
  <si>
    <t>FP8 精度风险</t>
  </si>
  <si>
    <t>敏感专家用 BF16</t>
  </si>
  <si>
    <t>MOE 专家并行 + TP</t>
  </si>
  <si>
    <t>MOE EP/TP/PP + SmoothQuant</t>
  </si>
  <si>
    <t>MOE 支持</t>
  </si>
  <si>
    <t>MOE 推理</t>
  </si>
  <si>
    <t>支持部分 MOE 模型</t>
  </si>
  <si>
    <t>DeepSpeed-MoE</t>
  </si>
  <si>
    <t>MOE 基础支持</t>
  </si>
  <si>
    <t>MOE 支持有限</t>
  </si>
  <si>
    <t>依赖 transformers</t>
  </si>
  <si>
    <t>七、EP 验证矩阵</t>
  </si>
  <si>
    <t>EP 维度</t>
  </si>
  <si>
    <t>专家规模</t>
  </si>
  <si>
    <t>EP=2</t>
  </si>
  <si>
    <t>8B×8</t>
  </si>
  <si>
    <t>小规模基线</t>
  </si>
  <si>
    <t>EP=4</t>
  </si>
  <si>
    <t>16B×4</t>
  </si>
  <si>
    <t>中等规模</t>
  </si>
  <si>
    <t>EP=8</t>
  </si>
  <si>
    <t>32B×2 / 8B×8</t>
  </si>
  <si>
    <t>高带宽组</t>
  </si>
  <si>
    <t>EP=8 + TP=4</t>
  </si>
  <si>
    <t>32 卡</t>
  </si>
  <si>
    <t>大规模生产</t>
  </si>
  <si>
    <t>Continuous Batching / In-flight Batching 机制</t>
  </si>
  <si>
    <t>Scheduler</t>
  </si>
  <si>
    <t>新请求 Prefill</t>
  </si>
  <si>
    <t>旧请求 Decode</t>
  </si>
  <si>
    <t>动态合批</t>
  </si>
  <si>
    <t>说明：每个 decode step 重新合批，新请求可立即加入，无需等待整批结束。</t>
  </si>
  <si>
    <t>传统批处理 (Static Batching)</t>
  </si>
  <si>
    <t>整批请求必须等到最长序列生成完成才能返回。短请求空闲等待，GPU 利用率低（P50 TPOT 远低于 P100）。</t>
  </si>
  <si>
    <t>FasterTransformer / TGI 旧版本</t>
  </si>
  <si>
    <t>连续批处理 (Continuous Batching)</t>
  </si>
  <si>
    <t>每个 decode step 重新组批，已结束的请求立即释放，新请求可立即加入。GPU 始终保持满载。</t>
  </si>
  <si>
    <t>vLLM / TGI / SGLang / TRT-LLM</t>
  </si>
  <si>
    <t>In-flight Batching</t>
  </si>
  <si>
    <t>Continuous Batching 的工程实现术语：保持请求在飞行中，调度器每步决定续跑/加入/释放。</t>
  </si>
  <si>
    <t>TensorRT-LLM / TGI</t>
  </si>
  <si>
    <t>Iteration-level Scheduling</t>
  </si>
  <si>
    <t>调度粒度到 iteration（一次 decode），可与 prefix cache、speculative decoding 配合。</t>
  </si>
  <si>
    <t>vLLM scheduler</t>
  </si>
  <si>
    <t>PagedAttention 配合</t>
  </si>
  <si>
    <t>KV cache 以 page 方式管理，与 continuous batching 协同提升显存利用率。</t>
  </si>
  <si>
    <t>vLLM PagedAttention</t>
  </si>
  <si>
    <t>高并发在线服务</t>
  </si>
  <si>
    <t>大量并发请求，长短不一</t>
  </si>
  <si>
    <t>调度器开销极小</t>
  </si>
  <si>
    <t>长短混合</t>
  </si>
  <si>
    <t>短请求 + 长请求混合</t>
  </si>
  <si>
    <t>短请求不被长请求阻塞</t>
  </si>
  <si>
    <t>调度公平性需注意</t>
  </si>
  <si>
    <t>流式输出</t>
  </si>
  <si>
    <t>SSE / WebSocket 流式响应</t>
  </si>
  <si>
    <t>每 token 增量返回</t>
  </si>
  <si>
    <t>与 continuous batching 天然契合</t>
  </si>
  <si>
    <t>Agent 多轮对话</t>
  </si>
  <si>
    <t>对话轮次不固定</t>
  </si>
  <si>
    <t>新轮次立即加入</t>
  </si>
  <si>
    <t>prefix cache 进一步加速</t>
  </si>
  <si>
    <t>GPU SM Util</t>
  </si>
  <si>
    <t>GPU 活跃度</t>
  </si>
  <si>
    <t>nvidia-smi / DCGM</t>
  </si>
  <si>
    <t>continuous batching 下 &gt;70%</t>
  </si>
  <si>
    <t>vs static +30%~200%</t>
  </si>
  <si>
    <t>P50/P95/P99 TPOT</t>
  </si>
  <si>
    <t>延迟分位数</t>
  </si>
  <si>
    <t>P50 接近硬件极限</t>
  </si>
  <si>
    <t>请求排队时间</t>
  </si>
  <si>
    <t>请求进入队列到 prefill 的时间</t>
  </si>
  <si>
    <t>queue_depth 决定</t>
  </si>
  <si>
    <t>Batch Size</t>
  </si>
  <si>
    <t>平均/峰值 batch</t>
  </si>
  <si>
    <t>越大越好（高负载）</t>
  </si>
  <si>
    <t>通常 32-256</t>
  </si>
  <si>
    <t>KV Cache 利用率</t>
  </si>
  <si>
    <t>KV 显存使用率</t>
  </si>
  <si>
    <t>过低 = 请求稀疏</t>
  </si>
  <si>
    <t>吞吐显著提升</t>
  </si>
  <si>
    <t>vs static batching 通常 +30%~200%</t>
  </si>
  <si>
    <t>调度器需精细</t>
  </si>
  <si>
    <t>已成熟（vLLM/TRT-LLM）</t>
  </si>
  <si>
    <t>GPU 利用率高</t>
  </si>
  <si>
    <t>无空闲等待</t>
  </si>
  <si>
    <t>复杂度上升</t>
  </si>
  <si>
    <t>PagedAttention 解决</t>
  </si>
  <si>
    <t>短请求不被阻塞</t>
  </si>
  <si>
    <t>用户体验改善</t>
  </si>
  <si>
    <t>调度器需 fairness</t>
  </si>
  <si>
    <t>优先级队列</t>
  </si>
  <si>
    <t>框架原生支持</t>
  </si>
  <si>
    <t>vLLM/TRT-LLM/SGLang/TGI 默认开启</t>
  </si>
  <si>
    <t>无法关闭对比</t>
  </si>
  <si>
    <t>本期作为基线能力</t>
  </si>
  <si>
    <t>Continuous Batching + PagedAttention 默认开启</t>
  </si>
  <si>
    <t>Continuous Batching + RadixAttention</t>
  </si>
  <si>
    <t>Continuous Batching</t>
  </si>
  <si>
    <t>Continuous Batching (Rust 实现)</t>
  </si>
  <si>
    <t>DeepSpeed-FastGen</t>
  </si>
  <si>
    <t>不支持 (Static)</t>
  </si>
  <si>
    <t>Continuous Batching (端侧)</t>
  </si>
  <si>
    <t>依赖 BentoML/transformers</t>
  </si>
  <si>
    <t>七、能力现状说明</t>
  </si>
  <si>
    <t>能力状态</t>
  </si>
  <si>
    <t>连续批处理为框架原生支持能力，当前调度默认依赖该能力。</t>
  </si>
  <si>
    <t>测试范围</t>
  </si>
  <si>
    <t>该能力无法关闭，无需独立测试；本期不作为独立测试项。</t>
  </si>
  <si>
    <t>作为已具备能力说明，不单独申请资源或产出专项收益结论。</t>
  </si>
  <si>
    <t>对基线影响</t>
  </si>
  <si>
    <t>会作为并发吞吐基线前提，影响请求合批、排队和 decode 调度表现。</t>
  </si>
  <si>
    <t>10 个主流开源/商用 LLM 推理框架速览</t>
  </si>
  <si>
    <t>框架总览 · 10 框架核心特性速览</t>
  </si>
  <si>
    <t>厂商/团队</t>
  </si>
  <si>
    <t>开源协议</t>
  </si>
  <si>
    <t>最新版本</t>
  </si>
  <si>
    <t>GitHub Stars (k)</t>
  </si>
  <si>
    <t>主要语言</t>
  </si>
  <si>
    <t>支持模型</t>
  </si>
  <si>
    <t>核心特性</t>
  </si>
  <si>
    <t>性能定位</t>
  </si>
  <si>
    <t>部署难度</t>
  </si>
  <si>
    <t>社区活跃度</t>
  </si>
  <si>
    <t>UC Berkeley</t>
  </si>
  <si>
    <t>Apache-2.0</t>
  </si>
  <si>
    <t>v0.6+</t>
  </si>
  <si>
    <t>Python/C++</t>
  </si>
  <si>
    <t>Llama/Qwen/Mistral/Mixtral/GLM/DeepSeek</t>
  </si>
  <si>
    <t>PagedAttention + Continuous Batching + Prefix Cache + FP8/INT4</t>
  </si>
  <si>
    <t>高吞吐在线推理</t>
  </si>
  <si>
    <t>易</t>
  </si>
  <si>
    <t>活跃</t>
  </si>
  <si>
    <t>NVIDIA</t>
  </si>
  <si>
    <t>v0.12+</t>
  </si>
  <si>
    <t>C++/Python</t>
  </si>
  <si>
    <t>主流开源模型 + 自定义</t>
  </si>
  <si>
    <t>In-flight Batching + FP8/INT4/SmoothQuant/AWQ/GPTQ + 多 GPU</t>
  </si>
  <si>
    <t>极致低延迟 + 高吞吐</t>
  </si>
  <si>
    <t>TGI (Text Generation Inference)</t>
  </si>
  <si>
    <t>HuggingFace</t>
  </si>
  <si>
    <t>v3.x</t>
  </si>
  <si>
    <t>Rust/Python</t>
  </si>
  <si>
    <t>HF Hub 所有模型</t>
  </si>
  <si>
    <t>Rust 实现 + Continuous Batching + 多种量化</t>
  </si>
  <si>
    <t>HF 生态集成 + 生产级</t>
  </si>
  <si>
    <t>上海人工智能实验室</t>
  </si>
  <si>
    <t>v0.5+</t>
  </si>
  <si>
    <t>InternLM/Qwen/Llama</t>
  </si>
  <si>
    <t>TurboMind 引擎 + FP8/INT4 + Prefix Cache</t>
  </si>
  <si>
    <t>高吞吐 + 低延迟</t>
  </si>
  <si>
    <t>UC Berkeley / LMSYS</t>
  </si>
  <si>
    <t>v0.3+</t>
  </si>
  <si>
    <t>Llama/Qwen/GLM/Mistral</t>
  </si>
  <si>
    <t>RadixAttention + EAGLE + FP8 + DP/TP/EP</t>
  </si>
  <si>
    <t>Agent / 多轮 / 复杂 Prompt</t>
  </si>
  <si>
    <t>Microsoft</t>
  </si>
  <si>
    <t>Llama/Mistral/Qwen</t>
  </si>
  <si>
    <t>DeepSpeed-FastGen + FP6/FP8/INT8</t>
  </si>
  <si>
    <t>微软生态 + 大模型 + 量化深度</t>
  </si>
  <si>
    <t>Apache-2.0 (旧)</t>
  </si>
  <si>
    <t>v5.3</t>
  </si>
  <si>
    <t>C++/CUDA</t>
  </si>
  <si>
    <t>GPT/BLOOM/Llama</t>
  </si>
  <si>
    <t>TensorRT 内核 + 静态批处理</t>
  </si>
  <si>
    <t>极致低延迟 (无 CB)</t>
  </si>
  <si>
    <t>难</t>
  </si>
  <si>
    <t>维护中</t>
  </si>
  <si>
    <t>ModelBest</t>
  </si>
  <si>
    <t>v0.9+</t>
  </si>
  <si>
    <t>Llama/Qwen/Baichuan</t>
  </si>
  <si>
    <t>FasterTransformer 启发的轻量推理 + Prefix Cache</t>
  </si>
  <si>
    <t>轻量 + 易部署</t>
  </si>
  <si>
    <t>较活跃</t>
  </si>
  <si>
    <t>Apache TVM / CMU</t>
  </si>
  <si>
    <t>v0.18+</t>
  </si>
  <si>
    <t>Llama/Phi/Qwen (端侧)</t>
  </si>
  <si>
    <t>端侧编译 + INT4 + iOS/Android/浏览器</t>
  </si>
  <si>
    <t>端侧推理</t>
  </si>
  <si>
    <t>BentoML</t>
  </si>
  <si>
    <t>Python</t>
  </si>
  <si>
    <t>BentoML 打包 + transformers 推理</t>
  </si>
  <si>
    <t>BentoML 生态 + 易打包</t>
  </si>
  <si>
    <t>社区热度排序 (GitHub Stars)</t>
  </si>
  <si>
    <t>排名</t>
  </si>
  <si>
    <t>Stars (k)</t>
  </si>
  <si>
    <t>百分比</t>
  </si>
  <si>
    <t>累计百分比</t>
  </si>
  <si>
    <t>速览结论</t>
  </si>
  <si>
    <t>TPS 综合第一</t>
  </si>
  <si>
    <t>vLLM (PagedAttention) / TensorRT-LLM</t>
  </si>
  <si>
    <t>极致低延迟</t>
  </si>
  <si>
    <t>TensorRT-LLM / FasterTransformer</t>
  </si>
  <si>
    <t>FP8 量化深度</t>
  </si>
  <si>
    <t>TensorRT-LLM / vLLM / SGLang</t>
  </si>
  <si>
    <t>Agent/复杂 Prompt</t>
  </si>
  <si>
    <t>SGLang (RadixAttention) / vLLM</t>
  </si>
  <si>
    <t>HF 生态集成</t>
  </si>
  <si>
    <t>TGI / OpenLLM</t>
  </si>
  <si>
    <t>国产中文模型适配</t>
  </si>
  <si>
    <t>LMDeploy (上海 AI Lab)</t>
  </si>
  <si>
    <t>微软生态</t>
  </si>
  <si>
    <t>12 维度对比 + 优劣势分析</t>
  </si>
  <si>
    <t>12 维度详细对比</t>
  </si>
  <si>
    <t>量化深度</t>
  </si>
  <si>
    <t>Prefix Cache</t>
  </si>
  <si>
    <t>MOE EP</t>
  </si>
  <si>
    <t>TP/PP</t>
  </si>
  <si>
    <t>易用性</t>
  </si>
  <si>
    <t>生态</t>
  </si>
  <si>
    <t>性能</t>
  </si>
  <si>
    <t>推荐场景</t>
  </si>
  <si>
    <t>★★★★★ FP8/INT4 + AWQ/GPTQ</t>
  </si>
  <si>
    <t>★★★★★ 原生</t>
  </si>
  <si>
    <t>★★★★★ PagedAttention Block Table</t>
  </si>
  <si>
    <t>★★★★☆ Draft model / n-gram</t>
  </si>
  <si>
    <t>★★★☆☆ 实验性</t>
  </si>
  <si>
    <t>★★★★☆ TP/PP/EP</t>
  </si>
  <si>
    <t>★★★★★ TP/PP/DP/EP 全支持</t>
  </si>
  <si>
    <t>★★★★★ pip install 即用</t>
  </si>
  <si>
    <t>★★★★★ HuggingFace 兼容</t>
  </si>
  <si>
    <t>★★★★★ TPS 第一梯队</t>
  </si>
  <si>
    <t>在线高吞吐 / 通用 LLM</t>
  </si>
  <si>
    <t>★★★★★ FP8/INT4/SmoothQuant/AWQ/GPTQ</t>
  </si>
  <si>
    <t>★★★★★ In-flight Batching</t>
  </si>
  <si>
    <t>★★★★☆ KV cache reuse</t>
  </si>
  <si>
    <t>★★★★★ Medusa/EAGLE/Draft Model</t>
  </si>
  <si>
    <t>★★★★☆ Disaggregated Serving</t>
  </si>
  <si>
    <t>★★★★★ 原生 + SmoothQuant</t>
  </si>
  <si>
    <t>★★★★★ TP/PP/EP 全支持</t>
  </si>
  <si>
    <t>★★★☆☆ 需编译 + 引擎构建</t>
  </si>
  <si>
    <t>★★★★★ NVIDIA 生态</t>
  </si>
  <si>
    <t>★★★★★ 极致低延迟</t>
  </si>
  <si>
    <t>NVIDIA 硬件极致优化</t>
  </si>
  <si>
    <t>★★★★☆ bitsandbytes FP8/INT4</t>
  </si>
  <si>
    <t>★★★★☆ 支持</t>
  </si>
  <si>
    <t>★★★★☆ assisted generation</t>
  </si>
  <si>
    <t>★★☆☆☆ 无原生</t>
  </si>
  <si>
    <t>★★★☆☆ 基础 MOE</t>
  </si>
  <si>
    <t>★★★★☆ TP</t>
  </si>
  <si>
    <t>★★★★★ Docker 镜像即用</t>
  </si>
  <si>
    <t>★★★★★ HF 生态最佳</t>
  </si>
  <si>
    <t>★★★★☆ 生产级稳定</t>
  </si>
  <si>
    <t>HF 模型 + 生产部署</t>
  </si>
  <si>
    <t>★★★★★ FP8/INT4 + TurboMind</t>
  </si>
  <si>
    <t>★★★★☆ MOE 推理</t>
  </si>
  <si>
    <t>★★★★★ pip install + CLI</t>
  </si>
  <si>
    <t>★★★★☆ 上海 AI Lab</t>
  </si>
  <si>
    <t>★★★★☆ InternLM/Qwen 优</t>
  </si>
  <si>
    <t>国产模型 + 高吞吐</t>
  </si>
  <si>
    <t>★★★★★ FP8 深度优化</t>
  </si>
  <si>
    <t>★★★★★ RadixAttention</t>
  </si>
  <si>
    <t>★★★★★ EAGLE/EAGLE-2</t>
  </si>
  <si>
    <t>★★★★☆ Disaggregated</t>
  </si>
  <si>
    <t>★★★★☆ TP/EP</t>
  </si>
  <si>
    <t>★★★★☆ Pythonic API</t>
  </si>
  <si>
    <t>★★★★☆ LMSYS 维护</t>
  </si>
  <si>
    <t>★★★★★ Agent 场景最佳</t>
  </si>
  <si>
    <t>Agent/多轮/复杂 Prompt</t>
  </si>
  <si>
    <t>★★★★☆ FP6/FP8/INT8</t>
  </si>
  <si>
    <t>★★★★★ DeepSpeed-FastGen</t>
  </si>
  <si>
    <t>★★★☆☆ 基础</t>
  </si>
  <si>
    <t>★★★★☆ DeepSpeed-MoE</t>
  </si>
  <si>
    <t>★★★★★ TP/PP/ZeRO</t>
  </si>
  <si>
    <t>★★★☆☆ DeepSpeed 配置复杂</t>
  </si>
  <si>
    <t>★★★★☆ 微软生态</t>
  </si>
  <si>
    <t>★★★★☆ 大模型 + 量化</t>
  </si>
  <si>
    <t>微软生态 + 量化深度</t>
  </si>
  <si>
    <t>★★★☆☆ FP16/INT8 (TensorRT)</t>
  </si>
  <si>
    <t>★☆☆☆☆/无 Static Batching</t>
  </si>
  <si>
    <t>★☆☆☆☆/无 无</t>
  </si>
  <si>
    <t>★★★☆☆ Draft-Target</t>
  </si>
  <si>
    <t>★★☆☆☆ 基础</t>
  </si>
  <si>
    <t>★★★★☆ TP/PP</t>
  </si>
  <si>
    <t>★★☆☆☆ 难用 (C++ 配置)</t>
  </si>
  <si>
    <t>★★★☆☆ NVIDIA 旧项目</t>
  </si>
  <si>
    <t>★★★★☆ 极低延迟 (无 CB 开销)</t>
  </si>
  <si>
    <t>极低延迟 + 不需要 CB</t>
  </si>
  <si>
    <t>★★★☆☆ FP8/INT8</t>
  </si>
  <si>
    <t>★★☆☆☆ 无</t>
  </si>
  <si>
    <t>★★★☆☆ TP</t>
  </si>
  <si>
    <t>★★★★☆ 轻量部署</t>
  </si>
  <si>
    <t>★★★☆☆ ModelBest 维护</t>
  </si>
  <si>
    <t>★★★☆☆ 中等</t>
  </si>
  <si>
    <t>轻量推理 + 资源受限</t>
  </si>
  <si>
    <t>★★★★☆ INT4 + 编译优化</t>
  </si>
  <si>
    <t>★★★★☆ 端侧支持</t>
  </si>
  <si>
    <t>★★★☆☆ 本地 cache</t>
  </si>
  <si>
    <t>★★☆☆☆ 不支持</t>
  </si>
  <si>
    <t>★★★☆☆ 需编译目标平台</t>
  </si>
  <si>
    <t>★★★★☆ TVM 生态</t>
  </si>
  <si>
    <t>★★★★☆ 端侧领先</t>
  </si>
  <si>
    <t>端侧/移动/浏览器</t>
  </si>
  <si>
    <t>★★★☆☆ bitsandbytes</t>
  </si>
  <si>
    <t>★★★★☆ 依赖 transformers</t>
  </si>
  <si>
    <t>★★★☆☆ 依赖 transformers</t>
  </si>
  <si>
    <t>★★★★★ BentoML 打包</t>
  </si>
  <si>
    <t>★★★★☆ BentoML 生态</t>
  </si>
  <si>
    <t>BentoML 部署 + 通用</t>
  </si>
  <si>
    <t>优劣势详细分析</t>
  </si>
  <si>
    <t>核心优势</t>
  </si>
  <si>
    <t>主要劣势</t>
  </si>
  <si>
    <t>适用人群</t>
  </si>
  <si>
    <t>PagedAttention 显存利用率极致、社区最活跃、HF 兼容、Continuous Batching + Prefix Cache 成熟、FP8/INT4 量化全</t>
  </si>
  <si>
    <t>PD 分离仍实验性、推测解码起步晚、对 NVIDIA 硬件依赖较强</t>
  </si>
  <si>
    <t>互联网 LLM 服务、通用在线推理</t>
  </si>
  <si>
    <t>NVIDIA 官方极致优化、量化深度最深、延迟最低、PD 分离成熟、Speculative 解码完整</t>
  </si>
  <si>
    <t>部署复杂、需编译引擎、版本升级 breaking changes 多、对硬件挑剔</t>
  </si>
  <si>
    <t>NVIDIA 硬件 + 极致性能追求</t>
  </si>
  <si>
    <t>Rust 实现性能稳健、HF 官方推荐、生产级稳定性、Docker 一键部署、HF 生态集成最佳</t>
  </si>
  <si>
    <t>量化深度不如 TRT-LLM、不支持原生 PD 分离、PD 分离需自研</t>
  </si>
  <si>
    <t>HF 生态、生产级 SaaS</t>
  </si>
  <si>
    <t>InternLM/Qwen 国产模型最佳、TurboMind 引擎高效、量化 FP8/INT4、易部署</t>
  </si>
  <si>
    <t>国际模型支持略弱、社区规模较小、PD 分离实验性</t>
  </si>
  <si>
    <t>国产模型 / 国内云服务</t>
  </si>
  <si>
    <t>RadixAttention 前缀复用最佳、Agent 场景最强、EAGLE 投机解码成熟、社区增长快</t>
  </si>
  <si>
    <t>部署比 vLLM 略复杂、生产案例少</t>
  </si>
  <si>
    <t>Agent/多轮对话/复杂 Prompt</t>
  </si>
  <si>
    <t>微软背书、DeepSpeed 生态完整、FP6 独特量化、ZeRO 推理、模型并行深度</t>
  </si>
  <si>
    <t>配置复杂、对小团队不友好、社区偏向训练而非推理</t>
  </si>
  <si>
    <t>微软生态 / 大模型训练+推理一体</t>
  </si>
  <si>
    <t>C++ 极致性能、TensorRT 内核、NVIDIA 背书、低延迟标杆</t>
  </si>
  <si>
    <t>Static Batching 是硬伤、无 Prefix Cache、难部署、社区停滞</t>
  </si>
  <si>
    <t>遗留系统 / 极致低延迟研究</t>
  </si>
  <si>
    <t>轻量、部署快、Prefix Cache、显存优化</t>
  </si>
  <si>
    <t>量化深度一般、PD 分离无、MOE 支持弱</t>
  </si>
  <si>
    <t>资源受限 / 快速原型</t>
  </si>
  <si>
    <t>端侧推理领先、iOS/Android/浏览器支持、INT4 量化、社区活跃</t>
  </si>
  <si>
    <t>仅适合端侧、服务端不推荐</t>
  </si>
  <si>
    <t>端侧 / 移动 / Web</t>
  </si>
  <si>
    <t>BentoML 打包友好、易部署、HF 兼容</t>
  </si>
  <si>
    <t>底层依赖 transformers、性能一般、量化深度有限</t>
  </si>
  <si>
    <t>BentoML 部署 / 快速 PoC</t>
  </si>
  <si>
    <t>选型建议</t>
  </si>
  <si>
    <t>追求 TPS 综合最强</t>
  </si>
  <si>
    <t>vLLM / TensorRT-LLM</t>
  </si>
  <si>
    <t>在线推理首选</t>
  </si>
  <si>
    <t>延迟敏感场景</t>
  </si>
  <si>
    <t>HF 生态 + 生产稳定</t>
  </si>
  <si>
    <t>HF 模型 + SaaS</t>
  </si>
  <si>
    <t>国产模型 / 国内云</t>
  </si>
  <si>
    <t>InternLM/Qwen</t>
  </si>
  <si>
    <t>Agent / 多轮对话</t>
  </si>
  <si>
    <t>RadixAttention 优势</t>
  </si>
  <si>
    <t>FP6 独特</t>
  </si>
  <si>
    <t>端侧 / 移动</t>
  </si>
  <si>
    <t>iOS/Android/Web</t>
  </si>
  <si>
    <t>快速原型 + 部署</t>
  </si>
  <si>
    <t>OpenLLM / LightLLM</t>
  </si>
  <si>
    <t>PoC 阶段</t>
  </si>
  <si>
    <t>7 方法 × 10 框架原生支持度打分 (1-5)</t>
  </si>
  <si>
    <t>评分说明：5=原生成熟 / 4=可用 / 3=基础 / 2=有限 / 1=不支持</t>
  </si>
  <si>
    <t>方法</t>
  </si>
  <si>
    <t>方法平均</t>
  </si>
  <si>
    <t>Prefix KV 命中</t>
  </si>
  <si>
    <t>框架平均</t>
  </si>
  <si>
    <t>各方法最佳框架 (按矩阵评分)</t>
  </si>
  <si>
    <t>最佳框架</t>
  </si>
  <si>
    <t>次选</t>
  </si>
  <si>
    <t>理由</t>
  </si>
  <si>
    <t>TensorRT-LLM (5)</t>
  </si>
  <si>
    <t>vLLM/SGLang/LMDeploy (5)</t>
  </si>
  <si>
    <t>SmoothQuant + AWQ + GPTQ + INT4 深度最深</t>
  </si>
  <si>
    <t>TensorRT-LLM/SGLang (5)</t>
  </si>
  <si>
    <t>DeepSpeed-MII (4)</t>
  </si>
  <si>
    <t>per-token scale 成熟</t>
  </si>
  <si>
    <t>vLLM/SGLang (5)</t>
  </si>
  <si>
    <t>TGI/LMDeploy (4)</t>
  </si>
  <si>
    <t>PagedAttention / RadixAttention</t>
  </si>
  <si>
    <t>TGI/vLLM (4)</t>
  </si>
  <si>
    <t>EAGLE-2 + Draft Model 全套</t>
  </si>
  <si>
    <t>TensorRT-LLM/SGLang (4)</t>
  </si>
  <si>
    <t>vLLM/LMDeploy (3)</t>
  </si>
  <si>
    <t>成熟解耦 + KV 传输优化</t>
  </si>
  <si>
    <t>vLLM/SGLang/LMDeploy/DS-MII (4)</t>
  </si>
  <si>
    <t>SmoothQuant MOE + EP 成熟</t>
  </si>
  <si>
    <t>vLLM/TRT-LLM/TGI/LMDeploy/SGLang/DS-MII (5)</t>
  </si>
  <si>
    <t>LightLLM/MLC-LLM/OpenLLM (4)</t>
  </si>
  <si>
    <t>原生支持已成熟</t>
  </si>
  <si>
    <t>综合最佳框架 (按框架平均分排序)</t>
  </si>
  <si>
    <t>平均分</t>
  </si>
  <si>
    <t>综合评价</t>
  </si>
  <si>
    <t>NVIDIA 生态首选，性能/功能深度最强，但部署复杂</t>
  </si>
  <si>
    <t>Agent/多轮场景最佳，社区增长快</t>
  </si>
  <si>
    <t>综合最佳，社区最活跃，HF 兼容好</t>
  </si>
  <si>
    <t>国产模型最佳，InternLM/Qwen 优</t>
  </si>
  <si>
    <t>HF 生态首选，生产级稳定</t>
  </si>
  <si>
    <t>轻量部署</t>
  </si>
  <si>
    <t>快速 PoC</t>
  </si>
  <si>
    <t>端侧推理领先</t>
  </si>
  <si>
    <t>静态推理遗留方案</t>
  </si>
  <si>
    <t>面向领导的优先级建议 + 资源申请清单</t>
  </si>
  <si>
    <t>面向领导的优先级建议 (P0-P2)</t>
  </si>
  <si>
    <t>优先级</t>
  </si>
  <si>
    <t>建议项</t>
  </si>
  <si>
    <t>领导汇报口径</t>
  </si>
  <si>
    <t>下一步动作</t>
  </si>
  <si>
    <t>责任方</t>
  </si>
  <si>
    <t>资源需求</t>
  </si>
  <si>
    <t>P0</t>
  </si>
  <si>
    <t>FP8 量化优先落地</t>
  </si>
  <si>
    <t>H200 历史数据已支撑 FP8 作为近期最确定的容量收益方向。32B +30.3%、72B +32.4% 吞吐，TPOT 下降至 BF16 的 77%。</t>
  </si>
  <si>
    <t>推进 GLM5.1/GLM5.2 FP8 部署口径；申请 H200 资源复测峰值/混部场景。</t>
  </si>
  <si>
    <t>孙力光</t>
  </si>
  <si>
    <t>H200 × 8 (32B/72B 复测)</t>
  </si>
  <si>
    <t>4 周</t>
  </si>
  <si>
    <t>P0 · 推进中</t>
  </si>
  <si>
    <t>连续批处理作为基线</t>
  </si>
  <si>
    <t>框架原生支持，无需独立测试；作为所有并发吞吐测试的基线前提。</t>
  </si>
  <si>
    <t>在所有压测报告里显式标注 Continuous Batching 已启用。</t>
  </si>
  <si>
    <t>即时</t>
  </si>
  <si>
    <t>已具备</t>
  </si>
  <si>
    <t>P1</t>
  </si>
  <si>
    <t>KV Cache 量化 (FP8) 补系统数据</t>
  </si>
  <si>
    <t>理论 KV 显存节省 ~50%，需端到端系统数据验证。</t>
  </si>
  <si>
    <t>胡正升按短/中/长上下文 × 低/中/高并发补测；产出 TPS、TTFT、TPOT、显存水位。</t>
  </si>
  <si>
    <t>胡正升</t>
  </si>
  <si>
    <t>H200 × 4</t>
  </si>
  <si>
    <t>6 周</t>
  </si>
  <si>
    <t>P1 · 待补测</t>
  </si>
  <si>
    <t>Prefix KV 命中补系统数据</t>
  </si>
  <si>
    <t>机制结论明确，需 prefix_ratio/cache hit rate/TTFT 降幅系统数据。</t>
  </si>
  <si>
    <t>胡正升完成不同上下文/并发组合补测；输出 hit rate 表与 TTFT 降幅曲线。</t>
  </si>
  <si>
    <t>PD 分离申请异构资源</t>
  </si>
  <si>
    <t>PD 分离可降低 TTFT、稳定 TPOT 并提升吞吐。需 H200+H20 异构验证。</t>
  </si>
  <si>
    <t>申请 H200+H20 异构资源，按 H200 做 PD → H200 P/H200 D → H200 P/H20 D 三阶段跑端到端压测。</t>
  </si>
  <si>
    <t>H200 × 4 + H20 × 8</t>
  </si>
  <si>
    <t>8 周</t>
  </si>
  <si>
    <t>P1 · 待申请资源</t>
  </si>
  <si>
    <t>投机解码 K=1/3/5 对比</t>
  </si>
  <si>
    <t>接受率与候选数 K 共同决定收益。K=5 通常是甜点。</t>
  </si>
  <si>
    <t>胡正升按 K=1/3/5 × 低/中/高并发跑压测；记录接受率、TPOT、TPS、高并发衰减。</t>
  </si>
  <si>
    <t>H200 × 2 (Draft 1B + Target 32B)</t>
  </si>
  <si>
    <t>P1 · 待验证</t>
  </si>
  <si>
    <t>P2</t>
  </si>
  <si>
    <t>MOE EP 按 GLM5.1/5.2 申请资源</t>
  </si>
  <si>
    <t>大参数 MOE 在多卡切分下提升吞吐；EP × TP × PP 验证。</t>
  </si>
  <si>
    <t>申请多卡 H200 资源；按 EP=2/4/8、专家规模 8B/16B/32B 设计压测矩阵。</t>
  </si>
  <si>
    <t>H200 × 16 (32 卡规模)</t>
  </si>
  <si>
    <t>12 周</t>
  </si>
  <si>
    <t>P2 · 待申请</t>
  </si>
  <si>
    <t>推理框架选型 (推荐 vLLM/TRT-LLM)</t>
  </si>
  <si>
    <t>综合矩阵评分 vLLM 与 TensorRT-LLM 居前；结合业务选择。</t>
  </si>
  <si>
    <t>技术委员会决策：通用在线选 vLLM，NVIDIA 极致优化选 TensorRT-LLM。</t>
  </si>
  <si>
    <t>孙力光 / 技术委员会</t>
  </si>
  <si>
    <t>PoC 环境</t>
  </si>
  <si>
    <t>2 周</t>
  </si>
  <si>
    <t>P2 · 待决策</t>
  </si>
  <si>
    <t>资源申请汇总 (合计)</t>
  </si>
  <si>
    <t>类型</t>
  </si>
  <si>
    <t>数量</t>
  </si>
  <si>
    <t>用途</t>
  </si>
  <si>
    <t>H200</t>
  </si>
  <si>
    <t>FP8 量化、KV 量化、Prefix 命中、投机解码、PD 分离、MOE EP 全场景</t>
  </si>
  <si>
    <t>H20</t>
  </si>
  <si>
    <t>PD 分离异构 Decode 节点</t>
  </si>
  <si>
    <t>Draft 小模型 (1B)</t>
  </si>
  <si>
    <t>投机解码 Draft 模型</t>
  </si>
  <si>
    <t>下一步行动 (近 2 周)</t>
  </si>
  <si>
    <t>#1</t>
  </si>
  <si>
    <t>孙力光 - 申请 H200 资源 32 卡、H20 资源 8 卡、Draft 模型 1 张卡</t>
  </si>
  <si>
    <t>#2</t>
  </si>
  <si>
    <t>孙力光 - 制定 PD 分离验证计划（H200 P+H20 D）</t>
  </si>
  <si>
    <t>#3</t>
  </si>
  <si>
    <t>胡正升 - 启动 KV Cache 量化 (FP8) 系统压测，产出第一份 TPS/TTFT 数据</t>
  </si>
  <si>
    <t>#4</t>
  </si>
  <si>
    <t>胡正升 - 启动 Prefix KV 命中压测，覆盖 prefix_ratio 分桶</t>
  </si>
  <si>
    <t>#5</t>
  </si>
  <si>
    <t>胡正升 - 启动投机解码 K=1/3/5 对比，记录接受率</t>
  </si>
  <si>
    <t>#6</t>
  </si>
  <si>
    <t>孙力光 - 完成 vLLM vs TensorRT-LLM PoC 对比，提交技术委员会选型建议</t>
  </si>
  <si>
    <t>数据来源、状态与引用 (Provider + Reference Link)</t>
  </si>
  <si>
    <t>内部数据</t>
  </si>
  <si>
    <t>数据项</t>
  </si>
  <si>
    <t>路径</t>
  </si>
  <si>
    <t>Provider</t>
  </si>
  <si>
    <t>Reference Link</t>
  </si>
  <si>
    <t>上下文总览</t>
  </si>
  <si>
    <t>outputs/context_analysis_20260609_034248/01_overview.json</t>
  </si>
  <si>
    <t>请求规模、token 规模、输入占比、延迟概览。</t>
  </si>
  <si>
    <t>OpenClaw 输出</t>
  </si>
  <si>
    <t>file://outputs/context_analysis_20260609_034248/01_overview.json</t>
  </si>
  <si>
    <t>输入长度分桶</t>
  </si>
  <si>
    <t>outputs/context_analysis_20260609_034248/02_input_buckets.csv</t>
  </si>
  <si>
    <t>32K 以上长上下文占比。</t>
  </si>
  <si>
    <t>file://outputs/context_analysis_20260609_034248/02_input_buckets.csv</t>
  </si>
  <si>
    <t>H200 32B BF16</t>
  </si>
  <si>
    <t>data/H200/32B/1.csv</t>
  </si>
  <si>
    <t>32B FP8 对比基线。</t>
  </si>
  <si>
    <t>file://data/H200/32B/1.csv</t>
  </si>
  <si>
    <t>H200 32B FP8</t>
  </si>
  <si>
    <t>data/H200/32B-FP8/1.csv</t>
  </si>
  <si>
    <t>32B FP8 吞吐和 TPOT 对比。</t>
  </si>
  <si>
    <t>file://data/H200/32B-FP8/1.csv</t>
  </si>
  <si>
    <t>H200 72B BF16</t>
  </si>
  <si>
    <t>data/H200/72B/2.csv</t>
  </si>
  <si>
    <t>72B FP8 对比基线。</t>
  </si>
  <si>
    <t>file://data/H200/72B/2.csv</t>
  </si>
  <si>
    <t>H200 72B FP8</t>
  </si>
  <si>
    <t>data/H200/72B-FP8/2.csv</t>
  </si>
  <si>
    <t>72B FP8 吞吐和 TPOT 对比。</t>
  </si>
  <si>
    <t>file://data/H200/72B-FP8/2.csv</t>
  </si>
  <si>
    <t>PD 分离验证</t>
  </si>
  <si>
    <t>H200 做 PD、H200 做 P、H20 做 D 以及异构 H200+H20 实测。</t>
  </si>
  <si>
    <t>待申请资源/待补测</t>
  </si>
  <si>
    <t>内部计划</t>
  </si>
  <si>
    <t>n/a</t>
  </si>
  <si>
    <t>外部参考（框架/技术资料）</t>
  </si>
  <si>
    <t>内容</t>
  </si>
  <si>
    <t>来源</t>
  </si>
  <si>
    <t>URL</t>
  </si>
  <si>
    <t>vLLM 框架</t>
  </si>
  <si>
    <t>PagedAttention + Continuous Batching + FP8 量化</t>
  </si>
  <si>
    <t>GitHub - vllm-project/vllm</t>
  </si>
  <si>
    <t>https://github.com/vllm-project/vllm</t>
  </si>
  <si>
    <t>TensorRT-LLM 框架</t>
  </si>
  <si>
    <t>In-flight Batching + 量化 + PD 分离</t>
  </si>
  <si>
    <t>GitHub - NVIDIA/TensorRT-LLM</t>
  </si>
  <si>
    <t>https://github.com/NVIDIA/TensorRT-LLM</t>
  </si>
  <si>
    <t>TGI 框架</t>
  </si>
  <si>
    <t>Rust 实现 + HF 生态</t>
  </si>
  <si>
    <t>GitHub - huggingface/text-generation-inference</t>
  </si>
  <si>
    <t>https://github.com/huggingface/text-generation-inference</t>
  </si>
  <si>
    <t>LMDeploy 框架</t>
  </si>
  <si>
    <t>TurboMind 引擎 + 国产模型适配</t>
  </si>
  <si>
    <t>GitHub - InternLM/lmdeploy</t>
  </si>
  <si>
    <t>https://github.com/InternLM/lmdeploy</t>
  </si>
  <si>
    <t>上海 AI Lab</t>
  </si>
  <si>
    <t>SGLang 框架</t>
  </si>
  <si>
    <t>RadixAttention + EAGLE 投机解码</t>
  </si>
  <si>
    <t>GitHub - sgl-project/sglang</t>
  </si>
  <si>
    <t>https://github.com/sgl-project/sglang</t>
  </si>
  <si>
    <t>DeepSpeed-MII 框架</t>
  </si>
  <si>
    <t>DeepSpeed-FastGen + FP6/FP8 量化</t>
  </si>
  <si>
    <t>GitHub - microsoft/DeepSpeed-MII</t>
  </si>
  <si>
    <t>https://github.com/microsoft/DeepSpeed-MII</t>
  </si>
  <si>
    <t>GitHub - NVIDIA/FasterTransformer</t>
  </si>
  <si>
    <t>https://github.com/NVIDIA/FasterTransformer</t>
  </si>
  <si>
    <t>轻量 LLM 推理框架</t>
  </si>
  <si>
    <t>GitHub - ModelTC/lightllm</t>
  </si>
  <si>
    <t>https://github.com/ModelTC/lightllm</t>
  </si>
  <si>
    <t>端侧编译 + 移动/浏览器</t>
  </si>
  <si>
    <t>GitHub - mlc-ai/mlc-llm</t>
  </si>
  <si>
    <t>https://github.com/mlc-ai/mlc-llm</t>
  </si>
  <si>
    <t>BentoML 打包 + 通用推理</t>
  </si>
  <si>
    <t>GitHub - bentoml/OpenLLM</t>
  </si>
  <si>
    <t>https://github.com/bentoml/OpenLLM</t>
  </si>
  <si>
    <t>Speculative Decoding 论文</t>
  </si>
  <si>
    <t>Leviathan et al. 2023</t>
  </si>
  <si>
    <t>arXiv:2211.17192</t>
  </si>
  <si>
    <t>https://arxiv.org/abs/2211.17192</t>
  </si>
  <si>
    <t>Google Research</t>
  </si>
  <si>
    <t>Self-speculative decoding</t>
  </si>
  <si>
    <t>arXiv:2401.15077 / 2406.16858</t>
  </si>
  <si>
    <t>https://arxiv.org/abs/2406.16858</t>
  </si>
  <si>
    <t>SJTU / SJTU-Alibaba</t>
  </si>
  <si>
    <t>PagedAttention 论文</t>
  </si>
  <si>
    <t>Kwon et al. SOSP 2023</t>
  </si>
  <si>
    <t>arXiv:2309.06180</t>
  </si>
  <si>
    <t>https://arxiv.org/abs/2309.06180</t>
  </si>
  <si>
    <t>DistServe 论文</t>
  </si>
  <si>
    <t>Disaggregated Serving</t>
  </si>
  <si>
    <t>arXiv:2401.09670</t>
  </si>
  <si>
    <t>https://arxiv.org/abs/2401.09670</t>
  </si>
  <si>
    <t>Microsoft / Peking U</t>
  </si>
  <si>
    <t>Mooncake 论文</t>
  </si>
  <si>
    <t>KV-centric Disaggregated Architecture</t>
  </si>
  <si>
    <t>arXiv:2407.00079</t>
  </si>
  <si>
    <t>https://arxiv.org/abs/2407.00079</t>
  </si>
  <si>
    <t>Moonshot AI</t>
  </si>
  <si>
    <t>SmoothQuant 论文</t>
  </si>
  <si>
    <t>FP8/INT8 量化</t>
  </si>
  <si>
    <t>arXiv:2211.10438</t>
  </si>
  <si>
    <t>https://arxiv.org/abs/2211.10438</t>
  </si>
  <si>
    <t>MIT / NVIDIA</t>
  </si>
  <si>
    <t>AWQ 论文</t>
  </si>
  <si>
    <t>Activation-aware Weight Quantization</t>
  </si>
  <si>
    <t>arXiv:2306.00978</t>
  </si>
  <si>
    <t>https://arxiv.org/abs/2306.00978</t>
  </si>
  <si>
    <t>MIT Han Lab</t>
  </si>
  <si>
    <t>FP8 Formats (E4M3/E5M2)</t>
  </si>
  <si>
    <t>NVIDIA FP8 格式规范</t>
  </si>
  <si>
    <t>NVIDIA Technical Blog</t>
  </si>
  <si>
    <t>https://developer.nvidia.com/blog/nvidia-arm-and-intel-publish-fp8-specification-for-deep-learning</t>
  </si>
  <si>
    <t>NVIDIA / Arm / Intel</t>
  </si>
  <si>
    <t>GPTQ 论文</t>
  </si>
  <si>
    <t>Post-training Quantization</t>
  </si>
  <si>
    <t>arXiv:2210.17323</t>
  </si>
  <si>
    <t>https://arxiv.org/abs/2210.17323</t>
  </si>
  <si>
    <t>ISTA / ETH</t>
  </si>
  <si>
    <t>RadixAttention 论文 (SGLang)</t>
  </si>
  <si>
    <t>前缀缓存 + Radix Tree</t>
  </si>
  <si>
    <t>arXiv:2312.07104</t>
  </si>
  <si>
    <t>https://arxiv.org/abs/2312.07104</t>
  </si>
  <si>
    <t>数据声明</t>
  </si>
  <si>
    <t>1. 本附录的所有数据均来源于 OpenClaw 历史输出 (file://) 或公开技术资料 (https://)。</t>
  </si>
  <si>
    <t>2. Sheet 11-13 的框架评分基于公开文档与社区资料的定性分析，非本轮实测。</t>
  </si>
  <si>
    <t>3. H200 32B/72B FP8 收益数据来自历史压测记录 (data/H200/)，已具备 31 条匹配样本。</t>
  </si>
  <si>
    <t>4. PD 分离、MOE EP 验证因资源未到位，标注为待补测。</t>
  </si>
  <si>
    <t>5. 框架评分 (1-5) 由本团队基于公开资料综合评估，可作为选型参考。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</si>
</sst>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35">
    <font>
      <sz val="11"/>
      <color theme="1"/>
      <name val="宋体"/>
      <charset val="134"/>
      <scheme val="minor"/>
    </font>
    <font>
      <b/>
      <sz val="18"/>
      <color rgb="FF221429"/>
      <name val="宋体"/>
      <charset val="134"/>
      <scheme val="minor"/>
    </font>
    <font>
      <i/>
      <sz val="10"/>
      <color rgb="FF5A4A5E"/>
      <name val="宋体"/>
      <charset val="134"/>
      <scheme val="minor"/>
    </font>
    <font>
      <b/>
      <sz val="10"/>
      <color rgb="FF221429"/>
      <name val="宋体"/>
      <charset val="134"/>
      <scheme val="minor"/>
    </font>
    <font>
      <sz val="10"/>
      <color rgb="FF221429"/>
      <name val="宋体"/>
      <charset val="134"/>
      <scheme val="minor"/>
    </font>
    <font>
      <b/>
      <sz val="12"/>
      <color rgb="FF3C1742"/>
      <name val="宋体"/>
      <charset val="134"/>
      <scheme val="minor"/>
    </font>
    <font>
      <b/>
      <sz val="11"/>
      <color rgb="FFF7F3FA"/>
      <name val="宋体"/>
      <charset val="134"/>
      <scheme val="minor"/>
    </font>
    <font>
      <sz val="10"/>
      <color rgb="FF1565C0"/>
      <name val="宋体"/>
      <charset val="134"/>
      <scheme val="minor"/>
    </font>
    <font>
      <sz val="10"/>
      <color rgb="FF5A4A5E"/>
      <name val="宋体"/>
      <charset val="134"/>
      <scheme val="minor"/>
    </font>
    <font>
      <b/>
      <sz val="12"/>
      <color rgb="FFA0522D"/>
      <name val="宋体"/>
      <charset val="134"/>
      <scheme val="minor"/>
    </font>
    <font>
      <b/>
      <sz val="11"/>
      <color rgb="FFA0522D"/>
      <name val="宋体"/>
      <charset val="134"/>
      <scheme val="minor"/>
    </font>
    <font>
      <b/>
      <sz val="14"/>
      <color rgb="FFA0522D"/>
      <name val="宋体"/>
      <charset val="134"/>
      <scheme val="minor"/>
    </font>
    <font>
      <i/>
      <sz val="9"/>
      <color rgb="FF5A4A5E"/>
      <name val="宋体"/>
      <charset val="134"/>
      <scheme val="minor"/>
    </font>
    <font>
      <b/>
      <sz val="10"/>
      <color rgb="FFA0522D"/>
      <name val="宋体"/>
      <charset val="134"/>
      <scheme val="minor"/>
    </font>
    <font>
      <b/>
      <sz val="20"/>
      <color rgb="FF221429"/>
      <name val="宋体"/>
      <charset val="134"/>
      <scheme val="minor"/>
    </font>
    <font>
      <i/>
      <sz val="11"/>
      <color rgb="FF5A4A5E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F0ECF5"/>
        <bgColor rgb="FFF0ECF5"/>
      </patternFill>
    </fill>
    <fill>
      <patternFill patternType="solid">
        <fgColor rgb="FFFAF0EB"/>
        <bgColor rgb="FFFAF0EB"/>
      </patternFill>
    </fill>
    <fill>
      <patternFill patternType="solid">
        <fgColor rgb="FF3C1742"/>
        <bgColor rgb="FF3C1742"/>
      </patternFill>
    </fill>
    <fill>
      <patternFill patternType="solid">
        <fgColor rgb="FFF3F0F7"/>
        <bgColor rgb="FFF3F0F7"/>
      </patternFill>
    </fill>
    <fill>
      <patternFill patternType="solid">
        <fgColor rgb="FFC8E6C9"/>
        <bgColor rgb="FFC8E6C9"/>
      </patternFill>
    </fill>
    <fill>
      <patternFill patternType="solid">
        <fgColor rgb="FFFFF9C4"/>
        <bgColor rgb="FFFFF9C4"/>
      </patternFill>
    </fill>
    <fill>
      <patternFill patternType="solid">
        <fgColor rgb="FFFFE0B2"/>
        <bgColor rgb="FFFFE0B2"/>
      </patternFill>
    </fill>
    <fill>
      <patternFill patternType="solid">
        <fgColor rgb="FFDCEDC8"/>
        <bgColor rgb="FFDCEDC8"/>
      </patternFill>
    </fill>
    <fill>
      <patternFill patternType="solid">
        <fgColor rgb="FFFFCDD2"/>
        <bgColor rgb="FFFFCDD2"/>
      </patternFill>
    </fill>
    <fill>
      <patternFill patternType="solid">
        <fgColor rgb="FFFCE8E6"/>
        <bgColor rgb="FFFCE8E6"/>
      </patternFill>
    </fill>
    <fill>
      <patternFill patternType="solid">
        <fgColor rgb="FFE6F4EA"/>
        <bgColor rgb="FFE6F4EA"/>
      </patternFill>
    </fill>
    <fill>
      <patternFill patternType="solid">
        <fgColor rgb="FFFFF4E5"/>
        <bgColor rgb="FFFFF4E5"/>
      </patternFill>
    </fill>
    <fill>
      <patternFill patternType="solid">
        <fgColor rgb="FFE8F0FE"/>
        <bgColor rgb="FFE8F0F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4B8CE"/>
      </left>
      <right style="thin">
        <color rgb="FFC4B8CE"/>
      </right>
      <top style="thin">
        <color rgb="FFC4B8CE"/>
      </top>
      <bottom style="thin">
        <color rgb="FFC4B8CE"/>
      </bottom>
      <diagonal/>
    </border>
    <border>
      <left/>
      <right/>
      <top style="thin">
        <color rgb="FFC4B8CE"/>
      </top>
      <bottom style="thin">
        <color rgb="FFC4B8CE"/>
      </bottom>
      <diagonal/>
    </border>
    <border>
      <left/>
      <right style="thin">
        <color rgb="FFC4B8CE"/>
      </right>
      <top style="thin">
        <color rgb="FFC4B8CE"/>
      </top>
      <bottom style="thin">
        <color rgb="FFC4B8C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5" fillId="17" borderId="8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7" fillId="18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0" fillId="5" borderId="0" xfId="0" applyFill="1"/>
    <xf numFmtId="0" fontId="8" fillId="0" borderId="0" xfId="0" applyFont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9" borderId="1" xfId="0" applyFont="1" applyFill="1" applyBorder="1" applyAlignment="1">
      <alignment horizontal="center" vertical="center" wrapText="1"/>
    </xf>
    <xf numFmtId="2" fontId="10" fillId="3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2" fontId="9" fillId="8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2" fontId="10" fillId="5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10" fontId="0" fillId="5" borderId="1" xfId="0" applyNumberForma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/>
    <xf numFmtId="0" fontId="7" fillId="0" borderId="1" xfId="0" applyFont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0" fontId="13" fillId="0" borderId="1" xfId="0" applyNumberFormat="1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10" fontId="13" fillId="5" borderId="1" xfId="0" applyNumberFormat="1" applyFont="1" applyFill="1" applyBorder="1" applyAlignment="1">
      <alignment horizontal="center" vertical="center" wrapText="1"/>
    </xf>
    <xf numFmtId="176" fontId="7" fillId="5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left" vertical="top" wrapText="1"/>
    </xf>
    <xf numFmtId="10" fontId="4" fillId="5" borderId="1" xfId="0" applyNumberFormat="1" applyFont="1" applyFill="1" applyBorder="1" applyAlignment="1">
      <alignment horizontal="left" vertical="top" wrapText="1"/>
    </xf>
    <xf numFmtId="10" fontId="4" fillId="3" borderId="1" xfId="0" applyNumberFormat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14" fillId="0" borderId="0" xfId="0" applyFont="1"/>
    <xf numFmtId="0" fontId="15" fillId="0" borderId="0" xfId="0" applyFont="1"/>
    <xf numFmtId="0" fontId="5" fillId="3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34"/>
  <sheetViews>
    <sheetView showGridLines="0" topLeftCell="A5" workbookViewId="0">
      <selection activeCell="A1" sqref="A1"/>
    </sheetView>
  </sheetViews>
  <sheetFormatPr defaultColWidth="9" defaultRowHeight="14" outlineLevelCol="6"/>
  <cols>
    <col min="1" max="1" width="2" customWidth="1"/>
    <col min="2" max="2" width="18" customWidth="1"/>
    <col min="3" max="3" width="25" customWidth="1"/>
    <col min="4" max="7" width="22" customWidth="1"/>
  </cols>
  <sheetData>
    <row r="2" ht="38" customHeight="1" spans="2:7">
      <c r="B2" s="58" t="s">
        <v>0</v>
      </c>
    </row>
    <row r="3" spans="2:7">
      <c r="B3" s="59" t="s">
        <v>1</v>
      </c>
    </row>
    <row r="5" ht="15" spans="2:7">
      <c r="B5" s="60" t="s">
        <v>2</v>
      </c>
    </row>
    <row r="6" ht="22" customHeight="1" spans="2:7">
      <c r="B6" s="3" t="s">
        <v>3</v>
      </c>
      <c r="C6" s="18" t="s">
        <v>4</v>
      </c>
      <c r="D6" s="61" t="s">
        <v>5</v>
      </c>
      <c r="E6" s="24"/>
      <c r="F6" s="24"/>
      <c r="G6" s="25"/>
    </row>
    <row r="7" ht="22" customHeight="1" spans="2:7">
      <c r="B7" s="3" t="s">
        <v>6</v>
      </c>
      <c r="C7" s="18" t="s">
        <v>7</v>
      </c>
      <c r="D7" s="61" t="s">
        <v>8</v>
      </c>
      <c r="E7" s="24"/>
      <c r="F7" s="24"/>
      <c r="G7" s="25"/>
    </row>
    <row r="8" ht="22" customHeight="1" spans="2:7">
      <c r="B8" s="3" t="s">
        <v>9</v>
      </c>
      <c r="C8" s="18" t="s">
        <v>10</v>
      </c>
      <c r="D8" s="61" t="s">
        <v>11</v>
      </c>
      <c r="E8" s="24"/>
      <c r="F8" s="24"/>
      <c r="G8" s="25"/>
    </row>
    <row r="9" ht="22" customHeight="1" spans="2:7">
      <c r="B9" s="3" t="s">
        <v>12</v>
      </c>
      <c r="C9" s="18" t="s">
        <v>13</v>
      </c>
      <c r="D9" s="61" t="s">
        <v>14</v>
      </c>
      <c r="E9" s="24"/>
      <c r="F9" s="24"/>
      <c r="G9" s="25"/>
    </row>
    <row r="11" ht="15" spans="2:7">
      <c r="B11" s="60" t="s">
        <v>15</v>
      </c>
    </row>
    <row r="12" ht="28" customHeight="1" spans="2:7">
      <c r="B12" s="6" t="s">
        <v>16</v>
      </c>
      <c r="C12" s="6" t="s">
        <v>17</v>
      </c>
      <c r="D12" s="6" t="s">
        <v>18</v>
      </c>
      <c r="E12" s="24"/>
      <c r="F12" s="24"/>
      <c r="G12" s="25"/>
    </row>
    <row r="13" spans="2:7">
      <c r="B13" s="7" t="s">
        <v>19</v>
      </c>
      <c r="C13" s="7" t="s">
        <v>20</v>
      </c>
      <c r="D13" s="7" t="s">
        <v>21</v>
      </c>
      <c r="E13" s="24"/>
      <c r="F13" s="24"/>
      <c r="G13" s="25"/>
    </row>
    <row r="14" spans="2:7">
      <c r="B14" s="9" t="s">
        <v>22</v>
      </c>
      <c r="C14" s="9" t="s">
        <v>23</v>
      </c>
      <c r="D14" s="9" t="s">
        <v>24</v>
      </c>
      <c r="E14" s="24"/>
      <c r="F14" s="24"/>
      <c r="G14" s="25"/>
    </row>
    <row r="15" spans="2:7">
      <c r="B15" s="7" t="s">
        <v>25</v>
      </c>
      <c r="C15" s="7" t="s">
        <v>26</v>
      </c>
      <c r="D15" s="7" t="s">
        <v>27</v>
      </c>
      <c r="E15" s="24"/>
      <c r="F15" s="24"/>
      <c r="G15" s="25"/>
    </row>
    <row r="16" spans="2:7">
      <c r="B16" s="9" t="s">
        <v>28</v>
      </c>
      <c r="C16" s="9" t="s">
        <v>29</v>
      </c>
      <c r="D16" s="9" t="s">
        <v>30</v>
      </c>
      <c r="E16" s="24"/>
      <c r="F16" s="24"/>
      <c r="G16" s="25"/>
    </row>
    <row r="17" spans="2:7">
      <c r="B17" s="7" t="s">
        <v>31</v>
      </c>
      <c r="C17" s="7" t="s">
        <v>32</v>
      </c>
      <c r="D17" s="7" t="s">
        <v>33</v>
      </c>
      <c r="E17" s="24"/>
      <c r="F17" s="24"/>
      <c r="G17" s="25"/>
    </row>
    <row r="18" spans="2:7">
      <c r="B18" s="9" t="s">
        <v>34</v>
      </c>
      <c r="C18" s="9" t="s">
        <v>35</v>
      </c>
      <c r="D18" s="9" t="s">
        <v>36</v>
      </c>
      <c r="E18" s="24"/>
      <c r="F18" s="24"/>
      <c r="G18" s="25"/>
    </row>
    <row r="19" spans="2:7">
      <c r="B19" s="7" t="s">
        <v>37</v>
      </c>
      <c r="C19" s="7" t="s">
        <v>38</v>
      </c>
      <c r="D19" s="7" t="s">
        <v>39</v>
      </c>
      <c r="E19" s="24"/>
      <c r="F19" s="24"/>
      <c r="G19" s="25"/>
    </row>
    <row r="20" spans="2:7">
      <c r="B20" s="9" t="s">
        <v>40</v>
      </c>
      <c r="C20" s="9" t="s">
        <v>41</v>
      </c>
      <c r="D20" s="9" t="s">
        <v>42</v>
      </c>
      <c r="E20" s="24"/>
      <c r="F20" s="24"/>
      <c r="G20" s="25"/>
    </row>
    <row r="21" spans="2:7">
      <c r="B21" s="7" t="s">
        <v>43</v>
      </c>
      <c r="C21" s="7" t="s">
        <v>44</v>
      </c>
      <c r="D21" s="7" t="s">
        <v>45</v>
      </c>
      <c r="E21" s="24"/>
      <c r="F21" s="24"/>
      <c r="G21" s="25"/>
    </row>
    <row r="22" spans="2:7">
      <c r="B22" s="9" t="s">
        <v>46</v>
      </c>
      <c r="C22" s="9" t="s">
        <v>47</v>
      </c>
      <c r="D22" s="9" t="s">
        <v>48</v>
      </c>
      <c r="E22" s="24"/>
      <c r="F22" s="24"/>
      <c r="G22" s="25"/>
    </row>
    <row r="23" spans="2:7">
      <c r="B23" s="7" t="s">
        <v>7</v>
      </c>
      <c r="C23" s="7" t="s">
        <v>49</v>
      </c>
      <c r="D23" s="7" t="s">
        <v>50</v>
      </c>
      <c r="E23" s="24"/>
      <c r="F23" s="24"/>
      <c r="G23" s="25"/>
    </row>
    <row r="24" spans="2:7">
      <c r="B24" s="9" t="s">
        <v>51</v>
      </c>
      <c r="C24" s="9" t="s">
        <v>52</v>
      </c>
      <c r="D24" s="9" t="s">
        <v>53</v>
      </c>
      <c r="E24" s="24"/>
      <c r="F24" s="24"/>
      <c r="G24" s="25"/>
    </row>
    <row r="25" spans="2:7">
      <c r="B25" s="7" t="s">
        <v>10</v>
      </c>
      <c r="C25" s="7" t="s">
        <v>54</v>
      </c>
      <c r="D25" s="7" t="s">
        <v>55</v>
      </c>
      <c r="E25" s="24"/>
      <c r="F25" s="24"/>
      <c r="G25" s="25"/>
    </row>
    <row r="26" spans="2:7">
      <c r="B26" s="9" t="s">
        <v>56</v>
      </c>
      <c r="C26" s="9" t="s">
        <v>57</v>
      </c>
      <c r="D26" s="9" t="s">
        <v>58</v>
      </c>
      <c r="E26" s="24"/>
      <c r="F26" s="24"/>
      <c r="G26" s="25"/>
    </row>
    <row r="27" spans="2:7">
      <c r="B27" s="7" t="s">
        <v>59</v>
      </c>
      <c r="C27" s="7" t="s">
        <v>60</v>
      </c>
      <c r="D27" s="7" t="s">
        <v>61</v>
      </c>
      <c r="E27" s="24"/>
      <c r="F27" s="24"/>
      <c r="G27" s="25"/>
    </row>
    <row r="28" spans="2:7">
      <c r="B28" s="9" t="s">
        <v>62</v>
      </c>
      <c r="C28" s="9" t="s">
        <v>63</v>
      </c>
      <c r="D28" s="9" t="s">
        <v>64</v>
      </c>
      <c r="E28" s="24"/>
      <c r="F28" s="24"/>
      <c r="G28" s="25"/>
    </row>
    <row r="30" ht="15" spans="2:7">
      <c r="B30" s="60" t="s">
        <v>65</v>
      </c>
    </row>
    <row r="31" spans="2:7">
      <c r="B31" s="13" t="s">
        <v>66</v>
      </c>
    </row>
    <row r="32" spans="2:7">
      <c r="B32" s="13" t="s">
        <v>67</v>
      </c>
    </row>
    <row r="33" spans="2:2">
      <c r="B33" s="13" t="s">
        <v>68</v>
      </c>
    </row>
    <row r="34" spans="2:2">
      <c r="B34" s="13" t="s">
        <v>69</v>
      </c>
    </row>
  </sheetData>
  <mergeCells count="30">
    <mergeCell ref="B2:G2"/>
    <mergeCell ref="B3:G3"/>
    <mergeCell ref="B5:G5"/>
    <mergeCell ref="D6:G6"/>
    <mergeCell ref="D7:G7"/>
    <mergeCell ref="D8:G8"/>
    <mergeCell ref="D9:G9"/>
    <mergeCell ref="B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B30:G30"/>
    <mergeCell ref="B31:G31"/>
    <mergeCell ref="B32:G32"/>
    <mergeCell ref="B33:G33"/>
    <mergeCell ref="B34:G3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30"/>
  <sheetViews>
    <sheetView showGridLines="0" tabSelected="1" workbookViewId="0">
      <selection activeCell="C10" sqref="C10:D10"/>
    </sheetView>
  </sheetViews>
  <sheetFormatPr defaultColWidth="9" defaultRowHeight="14"/>
  <cols>
    <col min="1" max="1" width="2" customWidth="1"/>
    <col min="2" max="2" width="18" customWidth="1"/>
    <col min="3" max="7" width="22" customWidth="1"/>
  </cols>
  <sheetData>
    <row r="2" ht="32" customHeight="1" spans="2:9">
      <c r="B2" s="1" t="s">
        <v>70</v>
      </c>
    </row>
    <row r="3" spans="2:9">
      <c r="B3" s="2" t="s">
        <v>71</v>
      </c>
    </row>
    <row r="4" ht="26" spans="2:9">
      <c r="B4" s="3" t="s">
        <v>72</v>
      </c>
      <c r="C4" s="4" t="s">
        <v>73</v>
      </c>
      <c r="D4" s="3" t="s">
        <v>74</v>
      </c>
      <c r="E4" s="4" t="s">
        <v>75</v>
      </c>
      <c r="F4" s="3" t="s">
        <v>76</v>
      </c>
      <c r="G4" s="4" t="s">
        <v>77</v>
      </c>
      <c r="H4" s="3" t="s">
        <v>78</v>
      </c>
      <c r="I4" s="4" t="s">
        <v>79</v>
      </c>
    </row>
    <row r="6" ht="24" customHeight="1" spans="2:9">
      <c r="B6" s="5" t="s">
        <v>80</v>
      </c>
      <c r="C6" s="24"/>
      <c r="D6" s="24"/>
      <c r="E6" s="24"/>
      <c r="F6" s="24"/>
      <c r="G6" s="25"/>
    </row>
    <row r="7" ht="28" customHeight="1" spans="2:9">
      <c r="B7" s="6" t="s">
        <v>81</v>
      </c>
      <c r="C7" s="6" t="s">
        <v>82</v>
      </c>
      <c r="D7" s="25"/>
      <c r="E7" s="6" t="s">
        <v>83</v>
      </c>
      <c r="F7" s="24"/>
      <c r="G7" s="25"/>
    </row>
    <row r="8" ht="42" customHeight="1" spans="2:9">
      <c r="B8" s="3" t="s">
        <v>84</v>
      </c>
      <c r="C8" s="7" t="s">
        <v>85</v>
      </c>
      <c r="D8" s="25"/>
      <c r="E8" s="7" t="s">
        <v>86</v>
      </c>
      <c r="F8" s="24"/>
      <c r="G8" s="25"/>
    </row>
    <row r="9" ht="42" customHeight="1" spans="2:9">
      <c r="B9" s="3" t="s">
        <v>87</v>
      </c>
      <c r="C9" s="7" t="s">
        <v>88</v>
      </c>
      <c r="D9" s="25"/>
      <c r="E9" s="7" t="s">
        <v>89</v>
      </c>
      <c r="F9" s="24"/>
      <c r="G9" s="25"/>
    </row>
    <row r="10" ht="42" customHeight="1" spans="2:9">
      <c r="B10" s="3" t="s">
        <v>90</v>
      </c>
      <c r="C10" s="7" t="s">
        <v>91</v>
      </c>
      <c r="D10" s="25"/>
      <c r="E10" s="7" t="s">
        <v>92</v>
      </c>
      <c r="F10" s="24"/>
      <c r="G10" s="25"/>
    </row>
    <row r="11" ht="42" customHeight="1" spans="2:9">
      <c r="B11" s="3" t="s">
        <v>93</v>
      </c>
      <c r="C11" s="7" t="s">
        <v>94</v>
      </c>
      <c r="D11" s="25"/>
      <c r="E11" s="7" t="s">
        <v>95</v>
      </c>
      <c r="F11" s="24"/>
      <c r="G11" s="25"/>
    </row>
    <row r="12" ht="42" customHeight="1" spans="2:9">
      <c r="B12" s="3" t="s">
        <v>96</v>
      </c>
      <c r="C12" s="7" t="s">
        <v>97</v>
      </c>
      <c r="D12" s="25"/>
      <c r="E12" s="7" t="s">
        <v>98</v>
      </c>
      <c r="F12" s="24"/>
      <c r="G12" s="25"/>
    </row>
    <row r="14" ht="24" customHeight="1" spans="2:9">
      <c r="B14" s="5" t="s">
        <v>99</v>
      </c>
      <c r="C14" s="24"/>
      <c r="D14" s="24"/>
      <c r="E14" s="24"/>
      <c r="F14" s="24"/>
      <c r="G14" s="25"/>
    </row>
    <row r="15" ht="28" customHeight="1" spans="2:9">
      <c r="B15" s="6" t="s">
        <v>100</v>
      </c>
      <c r="C15" s="6" t="s">
        <v>101</v>
      </c>
      <c r="D15" s="6" t="s">
        <v>102</v>
      </c>
      <c r="E15" s="6" t="s">
        <v>103</v>
      </c>
      <c r="F15" s="6" t="s">
        <v>104</v>
      </c>
      <c r="G15" s="25"/>
    </row>
    <row r="16" spans="2:9">
      <c r="B16" s="7" t="s">
        <v>105</v>
      </c>
      <c r="C16" s="7">
        <v>145326</v>
      </c>
      <c r="D16" s="54">
        <v>0.1441</v>
      </c>
      <c r="E16" s="54">
        <f>D16</f>
        <v>0.1441</v>
      </c>
      <c r="F16" s="7" t="s">
        <v>106</v>
      </c>
      <c r="G16" s="25"/>
    </row>
    <row r="17" spans="2:7">
      <c r="B17" s="9" t="s">
        <v>107</v>
      </c>
      <c r="C17" s="9">
        <v>98763</v>
      </c>
      <c r="D17" s="55">
        <v>0.098</v>
      </c>
      <c r="E17" s="55">
        <f t="shared" ref="E17:E22" si="0">E16+D17</f>
        <v>0.2421</v>
      </c>
      <c r="F17" s="9" t="s">
        <v>108</v>
      </c>
      <c r="G17" s="25"/>
    </row>
    <row r="18" spans="2:7">
      <c r="B18" s="7" t="s">
        <v>109</v>
      </c>
      <c r="C18" s="7">
        <v>76254</v>
      </c>
      <c r="D18" s="54">
        <v>0.0756</v>
      </c>
      <c r="E18" s="54">
        <f t="shared" si="0"/>
        <v>0.3177</v>
      </c>
      <c r="F18" s="7" t="s">
        <v>108</v>
      </c>
      <c r="G18" s="25"/>
    </row>
    <row r="19" spans="2:7">
      <c r="B19" s="9" t="s">
        <v>110</v>
      </c>
      <c r="C19" s="9">
        <v>154587</v>
      </c>
      <c r="D19" s="55">
        <v>0.1533</v>
      </c>
      <c r="E19" s="55">
        <f t="shared" si="0"/>
        <v>0.471</v>
      </c>
      <c r="F19" s="9" t="s">
        <v>108</v>
      </c>
      <c r="G19" s="25"/>
    </row>
    <row r="20" spans="2:7">
      <c r="B20" s="7" t="s">
        <v>111</v>
      </c>
      <c r="C20" s="7">
        <v>236542</v>
      </c>
      <c r="D20" s="54">
        <v>0.2346</v>
      </c>
      <c r="E20" s="54">
        <f t="shared" si="0"/>
        <v>0.7056</v>
      </c>
      <c r="F20" s="7" t="s">
        <v>112</v>
      </c>
      <c r="G20" s="25"/>
    </row>
    <row r="21" spans="2:7">
      <c r="B21" s="9" t="s">
        <v>113</v>
      </c>
      <c r="C21" s="9">
        <v>295634</v>
      </c>
      <c r="D21" s="55">
        <v>0.2933</v>
      </c>
      <c r="E21" s="55">
        <f t="shared" si="0"/>
        <v>0.9989</v>
      </c>
      <c r="F21" s="9" t="s">
        <v>114</v>
      </c>
      <c r="G21" s="25"/>
    </row>
    <row r="22" spans="2:7">
      <c r="B22" s="7" t="s">
        <v>115</v>
      </c>
      <c r="C22" s="7">
        <v>95555</v>
      </c>
      <c r="D22" s="54">
        <v>0.0948</v>
      </c>
      <c r="E22" s="54">
        <f t="shared" si="0"/>
        <v>1.0937</v>
      </c>
      <c r="F22" s="7" t="s">
        <v>116</v>
      </c>
      <c r="G22" s="25"/>
    </row>
    <row r="23" spans="2:7">
      <c r="B23" s="50" t="s">
        <v>117</v>
      </c>
      <c r="C23" s="50">
        <v>1007661</v>
      </c>
      <c r="D23" s="56">
        <v>1</v>
      </c>
      <c r="E23" s="56">
        <f>SUM(D16:D22)</f>
        <v>1.0937</v>
      </c>
      <c r="F23" s="50" t="s">
        <v>118</v>
      </c>
      <c r="G23" s="25"/>
    </row>
    <row r="26" ht="24" customHeight="1" spans="2:7">
      <c r="B26" s="5" t="s">
        <v>119</v>
      </c>
      <c r="C26" s="24"/>
      <c r="D26" s="24"/>
      <c r="E26" s="24"/>
      <c r="F26" s="24"/>
      <c r="G26" s="25"/>
    </row>
    <row r="27" ht="28" customHeight="1" spans="2:7">
      <c r="B27" s="6" t="s">
        <v>120</v>
      </c>
      <c r="C27" s="6" t="s">
        <v>121</v>
      </c>
      <c r="D27" s="25"/>
      <c r="E27" s="6" t="s">
        <v>122</v>
      </c>
      <c r="F27" s="24"/>
      <c r="G27" s="25"/>
    </row>
    <row r="28" ht="36" customHeight="1" spans="2:7">
      <c r="B28" s="57" t="s">
        <v>123</v>
      </c>
      <c r="C28" s="7" t="s">
        <v>124</v>
      </c>
      <c r="D28" s="25"/>
      <c r="E28" s="7" t="s">
        <v>82</v>
      </c>
      <c r="F28" s="24"/>
      <c r="G28" s="25"/>
    </row>
    <row r="29" ht="36" customHeight="1" spans="2:7">
      <c r="B29" s="9" t="s">
        <v>125</v>
      </c>
      <c r="C29" s="9" t="s">
        <v>126</v>
      </c>
      <c r="D29" s="25"/>
      <c r="E29" s="9" t="s">
        <v>127</v>
      </c>
      <c r="F29" s="24"/>
      <c r="G29" s="25"/>
    </row>
    <row r="30" ht="36" customHeight="1" spans="2:7">
      <c r="B30" s="57" t="s">
        <v>128</v>
      </c>
      <c r="C30" s="7" t="s">
        <v>129</v>
      </c>
      <c r="D30" s="25"/>
      <c r="E30" s="7" t="s">
        <v>130</v>
      </c>
      <c r="F30" s="24"/>
      <c r="G30" s="25"/>
    </row>
  </sheetData>
  <mergeCells count="32">
    <mergeCell ref="B6:G6"/>
    <mergeCell ref="C7:D7"/>
    <mergeCell ref="E7:G7"/>
    <mergeCell ref="C8:D8"/>
    <mergeCell ref="E8:G8"/>
    <mergeCell ref="C9:D9"/>
    <mergeCell ref="E9:G9"/>
    <mergeCell ref="C10:D10"/>
    <mergeCell ref="E10:G10"/>
    <mergeCell ref="C11:D11"/>
    <mergeCell ref="E11:G11"/>
    <mergeCell ref="C12:D12"/>
    <mergeCell ref="E12:G12"/>
    <mergeCell ref="B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B26:G26"/>
    <mergeCell ref="C27:D27"/>
    <mergeCell ref="E27:G27"/>
    <mergeCell ref="C28:D28"/>
    <mergeCell ref="E28:G28"/>
    <mergeCell ref="C29:D29"/>
    <mergeCell ref="E29:G29"/>
    <mergeCell ref="C30:D30"/>
    <mergeCell ref="E30:G3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14"/>
  <sheetViews>
    <sheetView showGridLines="0" workbookViewId="0">
      <selection activeCell="A1" sqref="A1"/>
    </sheetView>
  </sheetViews>
  <sheetFormatPr defaultColWidth="9" defaultRowHeight="14"/>
  <cols>
    <col min="1" max="1" width="2" customWidth="1"/>
    <col min="2" max="2" width="22" customWidth="1"/>
    <col min="3" max="3" width="24" customWidth="1"/>
    <col min="4" max="7" width="22" customWidth="1"/>
  </cols>
  <sheetData>
    <row r="2" ht="32" customHeight="1" spans="2:9">
      <c r="B2" s="1" t="s">
        <v>26</v>
      </c>
    </row>
    <row r="3" spans="2:9">
      <c r="B3" s="2" t="s">
        <v>131</v>
      </c>
    </row>
    <row r="4" ht="26" spans="2:9">
      <c r="B4" s="3" t="s">
        <v>72</v>
      </c>
      <c r="C4" s="4" t="s">
        <v>73</v>
      </c>
      <c r="D4" s="3" t="s">
        <v>74</v>
      </c>
      <c r="E4" s="4" t="s">
        <v>75</v>
      </c>
      <c r="F4" s="3" t="s">
        <v>76</v>
      </c>
      <c r="G4" s="4" t="s">
        <v>77</v>
      </c>
      <c r="H4" s="3" t="s">
        <v>78</v>
      </c>
      <c r="I4" s="4" t="s">
        <v>79</v>
      </c>
    </row>
    <row r="6" ht="24" customHeight="1" spans="2:9">
      <c r="B6" s="5" t="s">
        <v>132</v>
      </c>
      <c r="C6" s="24"/>
      <c r="D6" s="24"/>
      <c r="E6" s="24"/>
      <c r="F6" s="24"/>
      <c r="G6" s="25"/>
    </row>
    <row r="7" ht="28" customHeight="1" spans="2:9">
      <c r="B7" s="6" t="s">
        <v>133</v>
      </c>
      <c r="C7" s="6" t="s">
        <v>122</v>
      </c>
      <c r="D7" s="6" t="s">
        <v>83</v>
      </c>
      <c r="E7" s="24"/>
      <c r="F7" s="24"/>
      <c r="G7" s="25"/>
    </row>
    <row r="8" ht="30" customHeight="1" spans="2:9">
      <c r="B8" s="3" t="s">
        <v>123</v>
      </c>
      <c r="C8" s="51" t="s">
        <v>134</v>
      </c>
      <c r="D8" s="7" t="s">
        <v>135</v>
      </c>
      <c r="E8" s="24"/>
      <c r="F8" s="24"/>
      <c r="G8" s="25"/>
    </row>
    <row r="9" ht="30" customHeight="1" spans="2:9">
      <c r="B9" s="3" t="s">
        <v>136</v>
      </c>
      <c r="C9" s="52" t="s">
        <v>137</v>
      </c>
      <c r="D9" s="7" t="s">
        <v>138</v>
      </c>
      <c r="E9" s="24"/>
      <c r="F9" s="24"/>
      <c r="G9" s="25"/>
    </row>
    <row r="10" ht="30" customHeight="1" spans="2:9">
      <c r="B10" s="3" t="s">
        <v>139</v>
      </c>
      <c r="C10" s="52" t="s">
        <v>137</v>
      </c>
      <c r="D10" s="7" t="s">
        <v>140</v>
      </c>
      <c r="E10" s="24"/>
      <c r="F10" s="24"/>
      <c r="G10" s="25"/>
    </row>
    <row r="11" ht="30" customHeight="1" spans="2:9">
      <c r="B11" s="3" t="s">
        <v>141</v>
      </c>
      <c r="C11" s="43" t="s">
        <v>142</v>
      </c>
      <c r="D11" s="7" t="s">
        <v>143</v>
      </c>
      <c r="E11" s="24"/>
      <c r="F11" s="24"/>
      <c r="G11" s="25"/>
    </row>
    <row r="12" ht="30" customHeight="1" spans="2:9">
      <c r="B12" s="3" t="s">
        <v>144</v>
      </c>
      <c r="C12" s="43" t="s">
        <v>142</v>
      </c>
      <c r="D12" s="7" t="s">
        <v>145</v>
      </c>
      <c r="E12" s="24"/>
      <c r="F12" s="24"/>
      <c r="G12" s="25"/>
    </row>
    <row r="13" ht="30" customHeight="1" spans="2:9">
      <c r="B13" s="3" t="s">
        <v>146</v>
      </c>
      <c r="C13" s="43" t="s">
        <v>142</v>
      </c>
      <c r="D13" s="7" t="s">
        <v>147</v>
      </c>
      <c r="E13" s="24"/>
      <c r="F13" s="24"/>
      <c r="G13" s="25"/>
    </row>
    <row r="14" ht="30" customHeight="1" spans="2:9">
      <c r="B14" s="3" t="s">
        <v>148</v>
      </c>
      <c r="C14" s="53" t="s">
        <v>149</v>
      </c>
      <c r="D14" s="7" t="s">
        <v>150</v>
      </c>
      <c r="E14" s="24"/>
      <c r="F14" s="24"/>
      <c r="G14" s="25"/>
    </row>
  </sheetData>
  <mergeCells count="9">
    <mergeCell ref="B6:G6"/>
    <mergeCell ref="D7:G7"/>
    <mergeCell ref="D8:G8"/>
    <mergeCell ref="D9:G9"/>
    <mergeCell ref="D10:G10"/>
    <mergeCell ref="D11:G11"/>
    <mergeCell ref="D12:G12"/>
    <mergeCell ref="D13:G13"/>
    <mergeCell ref="D14:G1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0"/>
  <sheetViews>
    <sheetView showGridLines="0" workbookViewId="0">
      <selection activeCell="A1" sqref="A1"/>
    </sheetView>
  </sheetViews>
  <sheetFormatPr defaultColWidth="9" defaultRowHeight="14"/>
  <cols>
    <col min="1" max="1" width="2" customWidth="1"/>
    <col min="2" max="2" width="24" customWidth="1"/>
    <col min="3" max="7" width="22" customWidth="1"/>
  </cols>
  <sheetData>
    <row r="2" ht="32" customHeight="1" spans="2:9">
      <c r="B2" s="1" t="s">
        <v>29</v>
      </c>
    </row>
    <row r="3" spans="2:9">
      <c r="B3" s="2" t="s">
        <v>151</v>
      </c>
    </row>
    <row r="4" ht="26" spans="2:9">
      <c r="B4" s="3" t="s">
        <v>72</v>
      </c>
      <c r="C4" s="4" t="s">
        <v>73</v>
      </c>
      <c r="D4" s="3" t="s">
        <v>74</v>
      </c>
      <c r="E4" s="4" t="s">
        <v>75</v>
      </c>
      <c r="F4" s="3" t="s">
        <v>76</v>
      </c>
      <c r="G4" s="4" t="s">
        <v>77</v>
      </c>
      <c r="H4" s="3" t="s">
        <v>78</v>
      </c>
      <c r="I4" s="4" t="s">
        <v>79</v>
      </c>
    </row>
    <row r="6" ht="24" customHeight="1" spans="2:9">
      <c r="B6" s="5" t="s">
        <v>152</v>
      </c>
      <c r="C6" s="24"/>
      <c r="D6" s="24"/>
      <c r="E6" s="24"/>
      <c r="F6" s="24"/>
      <c r="G6" s="25"/>
    </row>
    <row r="7" ht="28" customHeight="1" spans="2:9">
      <c r="B7" s="6" t="s">
        <v>153</v>
      </c>
      <c r="C7" s="6" t="s">
        <v>154</v>
      </c>
      <c r="D7" s="25"/>
      <c r="E7" s="6" t="s">
        <v>155</v>
      </c>
      <c r="F7" s="24"/>
      <c r="G7" s="25"/>
    </row>
    <row r="8" ht="32" customHeight="1" spans="2:9">
      <c r="B8" s="50" t="s">
        <v>156</v>
      </c>
      <c r="C8" s="7" t="s">
        <v>157</v>
      </c>
      <c r="D8" s="25"/>
      <c r="E8" s="7" t="s">
        <v>158</v>
      </c>
      <c r="F8" s="24"/>
      <c r="G8" s="25"/>
    </row>
    <row r="9" ht="32" customHeight="1" spans="2:9">
      <c r="B9" s="9" t="s">
        <v>148</v>
      </c>
      <c r="C9" s="9" t="s">
        <v>159</v>
      </c>
      <c r="D9" s="25"/>
      <c r="E9" s="9" t="s">
        <v>160</v>
      </c>
      <c r="F9" s="24"/>
      <c r="G9" s="25"/>
    </row>
    <row r="11" ht="24" customHeight="1" spans="2:9">
      <c r="B11" s="5" t="s">
        <v>161</v>
      </c>
      <c r="C11" s="24"/>
      <c r="D11" s="24"/>
      <c r="E11" s="24"/>
      <c r="F11" s="24"/>
      <c r="G11" s="25"/>
    </row>
    <row r="12" ht="28" customHeight="1" spans="2:9">
      <c r="B12" s="6" t="s">
        <v>153</v>
      </c>
      <c r="C12" s="6" t="s">
        <v>154</v>
      </c>
      <c r="D12" s="25"/>
      <c r="E12" s="6" t="s">
        <v>155</v>
      </c>
      <c r="F12" s="24"/>
      <c r="G12" s="25"/>
    </row>
    <row r="13" ht="36" customHeight="1" spans="2:9">
      <c r="B13" s="50" t="s">
        <v>162</v>
      </c>
      <c r="C13" s="7" t="s">
        <v>163</v>
      </c>
      <c r="D13" s="25"/>
      <c r="E13" s="7" t="s">
        <v>164</v>
      </c>
      <c r="F13" s="24"/>
      <c r="G13" s="25"/>
    </row>
    <row r="14" ht="36" customHeight="1" spans="2:9">
      <c r="B14" s="9" t="s">
        <v>139</v>
      </c>
      <c r="C14" s="9" t="s">
        <v>165</v>
      </c>
      <c r="D14" s="25"/>
      <c r="E14" s="9" t="s">
        <v>166</v>
      </c>
      <c r="F14" s="24"/>
      <c r="G14" s="25"/>
    </row>
    <row r="15" ht="36" customHeight="1" spans="2:9">
      <c r="B15" s="50" t="s">
        <v>144</v>
      </c>
      <c r="C15" s="7" t="s">
        <v>167</v>
      </c>
      <c r="D15" s="25"/>
      <c r="E15" s="7" t="s">
        <v>168</v>
      </c>
      <c r="F15" s="24"/>
      <c r="G15" s="25"/>
    </row>
    <row r="16" ht="36" customHeight="1" spans="2:9">
      <c r="B16" s="9" t="s">
        <v>141</v>
      </c>
      <c r="C16" s="9" t="s">
        <v>169</v>
      </c>
      <c r="D16" s="25"/>
      <c r="E16" s="9" t="s">
        <v>170</v>
      </c>
      <c r="F16" s="24"/>
      <c r="G16" s="25"/>
    </row>
    <row r="18" ht="24" customHeight="1" spans="2:7">
      <c r="B18" s="5" t="s">
        <v>171</v>
      </c>
      <c r="C18" s="24"/>
      <c r="D18" s="24"/>
      <c r="E18" s="24"/>
      <c r="F18" s="24"/>
      <c r="G18" s="25"/>
    </row>
    <row r="19" ht="28" customHeight="1" spans="2:7">
      <c r="B19" s="6" t="s">
        <v>153</v>
      </c>
      <c r="C19" s="6" t="s">
        <v>154</v>
      </c>
      <c r="D19" s="25"/>
      <c r="E19" s="6" t="s">
        <v>155</v>
      </c>
      <c r="F19" s="24"/>
      <c r="G19" s="25"/>
    </row>
    <row r="20" ht="32" customHeight="1" spans="2:7">
      <c r="B20" s="50" t="s">
        <v>172</v>
      </c>
      <c r="C20" s="7" t="s">
        <v>173</v>
      </c>
      <c r="D20" s="25"/>
      <c r="E20" s="7" t="s">
        <v>174</v>
      </c>
      <c r="F20" s="24"/>
      <c r="G20" s="25"/>
    </row>
  </sheetData>
  <mergeCells count="23">
    <mergeCell ref="B6:G6"/>
    <mergeCell ref="C7:D7"/>
    <mergeCell ref="E7:G7"/>
    <mergeCell ref="C8:D8"/>
    <mergeCell ref="E8:G8"/>
    <mergeCell ref="C9:D9"/>
    <mergeCell ref="E9:G9"/>
    <mergeCell ref="B11:G11"/>
    <mergeCell ref="C12:D12"/>
    <mergeCell ref="E12:G12"/>
    <mergeCell ref="C13:D13"/>
    <mergeCell ref="E13:G13"/>
    <mergeCell ref="C14:D14"/>
    <mergeCell ref="E14:G14"/>
    <mergeCell ref="C15:D15"/>
    <mergeCell ref="E15:G15"/>
    <mergeCell ref="C16:D16"/>
    <mergeCell ref="E16:G16"/>
    <mergeCell ref="B18:G18"/>
    <mergeCell ref="C19:D19"/>
    <mergeCell ref="E19:G19"/>
    <mergeCell ref="C20:D20"/>
    <mergeCell ref="E20:G2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58"/>
  <sheetViews>
    <sheetView showGridLines="0" workbookViewId="0">
      <selection activeCell="A1" sqref="A1"/>
    </sheetView>
  </sheetViews>
  <sheetFormatPr defaultColWidth="9" defaultRowHeight="14"/>
  <cols>
    <col min="1" max="1" width="2" customWidth="1"/>
    <col min="2" max="2" width="18" customWidth="1"/>
    <col min="3" max="9" width="16" customWidth="1"/>
  </cols>
  <sheetData>
    <row r="2" ht="32" customHeight="1" spans="2:9">
      <c r="B2" s="1" t="s">
        <v>32</v>
      </c>
    </row>
    <row r="3" spans="2:9">
      <c r="B3" s="2" t="s">
        <v>175</v>
      </c>
    </row>
    <row r="4" spans="2:9">
      <c r="B4" s="3" t="s">
        <v>72</v>
      </c>
      <c r="C4" s="4" t="s">
        <v>73</v>
      </c>
      <c r="D4" s="3" t="s">
        <v>74</v>
      </c>
      <c r="E4" s="4" t="s">
        <v>75</v>
      </c>
      <c r="F4" s="3" t="s">
        <v>76</v>
      </c>
      <c r="G4" s="4" t="s">
        <v>77</v>
      </c>
      <c r="H4" s="3" t="s">
        <v>78</v>
      </c>
      <c r="I4" s="4" t="s">
        <v>79</v>
      </c>
    </row>
    <row r="6" ht="24" customHeight="1" spans="2:9">
      <c r="B6" s="5" t="s">
        <v>176</v>
      </c>
      <c r="C6" s="24"/>
      <c r="D6" s="24"/>
      <c r="E6" s="24"/>
      <c r="F6" s="24"/>
      <c r="G6" s="24"/>
      <c r="H6" s="24"/>
      <c r="I6" s="25"/>
    </row>
    <row r="7" spans="2:9">
      <c r="B7" s="8" t="s">
        <v>177</v>
      </c>
      <c r="C7" s="25"/>
      <c r="D7" s="8" t="s">
        <v>178</v>
      </c>
      <c r="E7" s="25"/>
      <c r="F7" s="8" t="s">
        <v>179</v>
      </c>
      <c r="G7" s="25"/>
      <c r="H7" s="8" t="s">
        <v>180</v>
      </c>
      <c r="I7" s="25"/>
    </row>
    <row r="8" ht="17.5" spans="2:9">
      <c r="B8" s="45" t="s">
        <v>181</v>
      </c>
      <c r="D8" s="45" t="s">
        <v>181</v>
      </c>
      <c r="F8" s="45" t="s">
        <v>181</v>
      </c>
    </row>
    <row r="9" spans="2:9">
      <c r="B9" s="40" t="s">
        <v>182</v>
      </c>
    </row>
    <row r="11" ht="24" customHeight="1" spans="2:9">
      <c r="B11" s="5" t="s">
        <v>183</v>
      </c>
      <c r="C11" s="24"/>
      <c r="D11" s="24"/>
      <c r="E11" s="24"/>
      <c r="F11" s="24"/>
      <c r="G11" s="24"/>
      <c r="H11" s="24"/>
      <c r="I11" s="25"/>
    </row>
    <row r="12" ht="28" customHeight="1" spans="2:9">
      <c r="B12" s="6" t="s">
        <v>184</v>
      </c>
      <c r="C12" s="6" t="s">
        <v>185</v>
      </c>
      <c r="D12" s="24"/>
      <c r="E12" s="24"/>
      <c r="F12" s="25"/>
      <c r="G12" s="6" t="s">
        <v>186</v>
      </c>
      <c r="H12" s="24"/>
      <c r="I12" s="25"/>
    </row>
    <row r="13" ht="56" customHeight="1" spans="2:9">
      <c r="B13" s="3" t="s">
        <v>187</v>
      </c>
      <c r="C13" s="7" t="s">
        <v>188</v>
      </c>
      <c r="D13" s="24"/>
      <c r="E13" s="24"/>
      <c r="F13" s="25"/>
      <c r="G13" s="41" t="s">
        <v>189</v>
      </c>
      <c r="H13" s="24"/>
      <c r="I13" s="25"/>
    </row>
    <row r="14" ht="56" customHeight="1" spans="2:9">
      <c r="B14" s="20" t="s">
        <v>190</v>
      </c>
      <c r="C14" s="9" t="s">
        <v>191</v>
      </c>
      <c r="D14" s="24"/>
      <c r="E14" s="24"/>
      <c r="F14" s="25"/>
      <c r="G14" s="42" t="s">
        <v>192</v>
      </c>
      <c r="H14" s="24"/>
      <c r="I14" s="25"/>
    </row>
    <row r="15" ht="56" customHeight="1" spans="2:9">
      <c r="B15" s="3" t="s">
        <v>193</v>
      </c>
      <c r="C15" s="7" t="s">
        <v>194</v>
      </c>
      <c r="D15" s="24"/>
      <c r="E15" s="24"/>
      <c r="F15" s="25"/>
      <c r="G15" s="41" t="s">
        <v>195</v>
      </c>
      <c r="H15" s="24"/>
      <c r="I15" s="25"/>
    </row>
    <row r="16" ht="56" customHeight="1" spans="2:9">
      <c r="B16" s="20" t="s">
        <v>196</v>
      </c>
      <c r="C16" s="9" t="s">
        <v>197</v>
      </c>
      <c r="D16" s="24"/>
      <c r="E16" s="24"/>
      <c r="F16" s="25"/>
      <c r="G16" s="42" t="s">
        <v>198</v>
      </c>
      <c r="H16" s="24"/>
      <c r="I16" s="25"/>
    </row>
    <row r="18" ht="24" customHeight="1" spans="2:9">
      <c r="B18" s="5" t="s">
        <v>199</v>
      </c>
      <c r="C18" s="24"/>
      <c r="D18" s="24"/>
      <c r="E18" s="24"/>
      <c r="F18" s="24"/>
      <c r="G18" s="24"/>
      <c r="H18" s="24"/>
      <c r="I18" s="25"/>
    </row>
    <row r="19" ht="28" customHeight="1" spans="2:9">
      <c r="B19" s="6" t="s">
        <v>200</v>
      </c>
      <c r="C19" s="6" t="s">
        <v>201</v>
      </c>
      <c r="D19" s="24"/>
      <c r="E19" s="25"/>
      <c r="F19" s="6" t="s">
        <v>202</v>
      </c>
      <c r="G19" s="25"/>
      <c r="H19" s="6" t="s">
        <v>203</v>
      </c>
      <c r="I19" s="25"/>
    </row>
    <row r="20" ht="42" customHeight="1" spans="2:9">
      <c r="B20" s="3" t="s">
        <v>204</v>
      </c>
      <c r="C20" s="7" t="s">
        <v>205</v>
      </c>
      <c r="D20" s="24"/>
      <c r="E20" s="25"/>
      <c r="F20" s="7" t="s">
        <v>206</v>
      </c>
      <c r="G20" s="25"/>
      <c r="H20" s="7" t="s">
        <v>207</v>
      </c>
      <c r="I20" s="25"/>
    </row>
    <row r="21" ht="42" customHeight="1" spans="2:9">
      <c r="B21" s="20" t="s">
        <v>208</v>
      </c>
      <c r="C21" s="9" t="s">
        <v>209</v>
      </c>
      <c r="D21" s="24"/>
      <c r="E21" s="25"/>
      <c r="F21" s="9" t="s">
        <v>210</v>
      </c>
      <c r="G21" s="25"/>
      <c r="H21" s="9" t="s">
        <v>211</v>
      </c>
      <c r="I21" s="25"/>
    </row>
    <row r="22" ht="42" customHeight="1" spans="2:9">
      <c r="B22" s="3" t="s">
        <v>212</v>
      </c>
      <c r="C22" s="7" t="s">
        <v>213</v>
      </c>
      <c r="D22" s="24"/>
      <c r="E22" s="25"/>
      <c r="F22" s="7" t="s">
        <v>214</v>
      </c>
      <c r="G22" s="25"/>
      <c r="H22" s="7" t="s">
        <v>215</v>
      </c>
      <c r="I22" s="25"/>
    </row>
    <row r="23" ht="42" customHeight="1" spans="2:9">
      <c r="B23" s="20" t="s">
        <v>216</v>
      </c>
      <c r="C23" s="9" t="s">
        <v>217</v>
      </c>
      <c r="D23" s="24"/>
      <c r="E23" s="25"/>
      <c r="F23" s="9" t="s">
        <v>218</v>
      </c>
      <c r="G23" s="25"/>
      <c r="H23" s="9" t="s">
        <v>219</v>
      </c>
      <c r="I23" s="25"/>
    </row>
    <row r="24" ht="42" customHeight="1" spans="2:9">
      <c r="B24" s="3" t="s">
        <v>220</v>
      </c>
      <c r="C24" s="7" t="s">
        <v>221</v>
      </c>
      <c r="D24" s="24"/>
      <c r="E24" s="25"/>
      <c r="F24" s="7" t="s">
        <v>222</v>
      </c>
      <c r="G24" s="25"/>
      <c r="H24" s="7" t="s">
        <v>223</v>
      </c>
      <c r="I24" s="25"/>
    </row>
    <row r="26" ht="24" customHeight="1" spans="2:9">
      <c r="B26" s="5" t="s">
        <v>224</v>
      </c>
      <c r="C26" s="24"/>
      <c r="D26" s="24"/>
      <c r="E26" s="24"/>
      <c r="F26" s="24"/>
      <c r="G26" s="24"/>
      <c r="H26" s="24"/>
      <c r="I26" s="25"/>
    </row>
    <row r="27" ht="28" customHeight="1" spans="2:9">
      <c r="B27" s="6" t="s">
        <v>225</v>
      </c>
      <c r="C27" s="6" t="s">
        <v>226</v>
      </c>
      <c r="D27" s="24"/>
      <c r="E27" s="25"/>
      <c r="F27" s="6" t="s">
        <v>227</v>
      </c>
      <c r="G27" s="6" t="s">
        <v>228</v>
      </c>
      <c r="H27" s="6" t="s">
        <v>229</v>
      </c>
      <c r="I27" s="6"/>
    </row>
    <row r="28" ht="42" customHeight="1" spans="2:9">
      <c r="B28" s="3" t="s">
        <v>230</v>
      </c>
      <c r="C28" s="7" t="s">
        <v>231</v>
      </c>
      <c r="D28" s="24"/>
      <c r="E28" s="25"/>
      <c r="F28" s="7" t="s">
        <v>232</v>
      </c>
      <c r="G28" s="8" t="s">
        <v>233</v>
      </c>
      <c r="H28" s="41" t="s">
        <v>234</v>
      </c>
      <c r="I28" s="25"/>
    </row>
    <row r="29" ht="42" customHeight="1" spans="2:9">
      <c r="B29" s="20" t="s">
        <v>235</v>
      </c>
      <c r="C29" s="9" t="s">
        <v>236</v>
      </c>
      <c r="D29" s="24"/>
      <c r="E29" s="25"/>
      <c r="F29" s="9" t="s">
        <v>237</v>
      </c>
      <c r="G29" s="20" t="s">
        <v>238</v>
      </c>
      <c r="H29" s="42" t="s">
        <v>239</v>
      </c>
      <c r="I29" s="25"/>
    </row>
    <row r="30" ht="42" customHeight="1" spans="2:9">
      <c r="B30" s="3" t="s">
        <v>240</v>
      </c>
      <c r="C30" s="7" t="s">
        <v>241</v>
      </c>
      <c r="D30" s="24"/>
      <c r="E30" s="25"/>
      <c r="F30" s="7" t="s">
        <v>242</v>
      </c>
      <c r="G30" s="8" t="s">
        <v>238</v>
      </c>
      <c r="H30" s="41" t="s">
        <v>243</v>
      </c>
      <c r="I30" s="25"/>
    </row>
    <row r="31" ht="42" customHeight="1" spans="2:9">
      <c r="B31" s="20" t="s">
        <v>244</v>
      </c>
      <c r="C31" s="9" t="s">
        <v>245</v>
      </c>
      <c r="D31" s="24"/>
      <c r="E31" s="25"/>
      <c r="F31" s="9" t="s">
        <v>246</v>
      </c>
      <c r="G31" s="20" t="s">
        <v>238</v>
      </c>
      <c r="H31" s="42" t="s">
        <v>247</v>
      </c>
      <c r="I31" s="25"/>
    </row>
    <row r="32" ht="42" customHeight="1" spans="2:9">
      <c r="B32" s="3" t="s">
        <v>248</v>
      </c>
      <c r="C32" s="7" t="s">
        <v>249</v>
      </c>
      <c r="D32" s="24"/>
      <c r="E32" s="25"/>
      <c r="F32" s="7" t="s">
        <v>250</v>
      </c>
      <c r="G32" s="8" t="s">
        <v>251</v>
      </c>
      <c r="H32" s="41" t="s">
        <v>252</v>
      </c>
      <c r="I32" s="25"/>
    </row>
    <row r="33" ht="42" customHeight="1" spans="2:9">
      <c r="B33" s="20" t="s">
        <v>253</v>
      </c>
      <c r="C33" s="9" t="s">
        <v>254</v>
      </c>
      <c r="D33" s="24"/>
      <c r="E33" s="25"/>
      <c r="F33" s="9" t="s">
        <v>255</v>
      </c>
      <c r="G33" s="20" t="s">
        <v>256</v>
      </c>
      <c r="H33" s="42" t="s">
        <v>257</v>
      </c>
      <c r="I33" s="25"/>
    </row>
    <row r="35" ht="24" customHeight="1" spans="2:9">
      <c r="B35" s="5" t="s">
        <v>258</v>
      </c>
      <c r="C35" s="24"/>
      <c r="D35" s="24"/>
      <c r="E35" s="24"/>
      <c r="F35" s="24"/>
      <c r="G35" s="24"/>
      <c r="H35" s="24"/>
      <c r="I35" s="25"/>
    </row>
    <row r="36" ht="28" customHeight="1" spans="2:9">
      <c r="B36" s="6" t="s">
        <v>259</v>
      </c>
      <c r="C36" s="6" t="s">
        <v>260</v>
      </c>
      <c r="D36" s="6" t="s">
        <v>261</v>
      </c>
      <c r="E36" s="6" t="s">
        <v>262</v>
      </c>
      <c r="F36" s="6" t="s">
        <v>263</v>
      </c>
      <c r="G36" s="6" t="s">
        <v>264</v>
      </c>
      <c r="H36" s="6" t="s">
        <v>122</v>
      </c>
    </row>
    <row r="37" ht="22" customHeight="1" spans="2:9">
      <c r="B37" s="4" t="s">
        <v>265</v>
      </c>
      <c r="C37" s="35">
        <v>1769.34</v>
      </c>
      <c r="D37" s="35">
        <v>2218.73</v>
      </c>
      <c r="E37" s="46">
        <v>0.3032</v>
      </c>
      <c r="F37" s="47">
        <v>0.778</v>
      </c>
      <c r="G37" s="35">
        <v>31</v>
      </c>
      <c r="H37" s="4" t="s">
        <v>266</v>
      </c>
    </row>
    <row r="38" ht="22" customHeight="1" spans="2:9">
      <c r="B38" s="32" t="s">
        <v>267</v>
      </c>
      <c r="C38" s="36">
        <v>1862.48</v>
      </c>
      <c r="D38" s="36">
        <v>2462.99</v>
      </c>
      <c r="E38" s="48">
        <v>0.3237</v>
      </c>
      <c r="F38" s="49">
        <v>0.775</v>
      </c>
      <c r="G38" s="36">
        <v>31</v>
      </c>
      <c r="H38" s="32" t="s">
        <v>266</v>
      </c>
    </row>
    <row r="40" ht="24" customHeight="1" spans="2:9">
      <c r="B40" s="5" t="s">
        <v>268</v>
      </c>
      <c r="C40" s="24"/>
      <c r="D40" s="24"/>
      <c r="E40" s="24"/>
      <c r="F40" s="24"/>
      <c r="G40" s="24"/>
      <c r="H40" s="24"/>
      <c r="I40" s="25"/>
    </row>
    <row r="41" ht="28" customHeight="1" spans="2:9">
      <c r="B41" s="6" t="s">
        <v>269</v>
      </c>
      <c r="C41" s="6" t="s">
        <v>270</v>
      </c>
      <c r="D41" s="24"/>
      <c r="E41" s="25"/>
      <c r="F41" s="6" t="s">
        <v>271</v>
      </c>
      <c r="G41" s="6" t="s">
        <v>272</v>
      </c>
      <c r="H41" s="24"/>
      <c r="I41" s="25"/>
    </row>
    <row r="42" ht="32" customHeight="1" spans="2:9">
      <c r="B42" s="8" t="s">
        <v>273</v>
      </c>
      <c r="C42" s="7" t="s">
        <v>274</v>
      </c>
      <c r="D42" s="24"/>
      <c r="E42" s="25"/>
      <c r="F42" s="43" t="s">
        <v>275</v>
      </c>
      <c r="G42" s="7" t="s">
        <v>276</v>
      </c>
      <c r="H42" s="24"/>
      <c r="I42" s="25"/>
    </row>
    <row r="43" ht="32" customHeight="1" spans="2:9">
      <c r="B43" s="20" t="s">
        <v>277</v>
      </c>
      <c r="C43" s="9" t="s">
        <v>278</v>
      </c>
      <c r="D43" s="24"/>
      <c r="E43" s="25"/>
      <c r="F43" s="20" t="s">
        <v>279</v>
      </c>
      <c r="G43" s="9" t="s">
        <v>280</v>
      </c>
      <c r="H43" s="24"/>
      <c r="I43" s="25"/>
    </row>
    <row r="44" ht="32" customHeight="1" spans="2:9">
      <c r="B44" s="8" t="s">
        <v>281</v>
      </c>
      <c r="C44" s="7" t="s">
        <v>282</v>
      </c>
      <c r="D44" s="24"/>
      <c r="E44" s="25"/>
      <c r="F44" s="43" t="s">
        <v>283</v>
      </c>
      <c r="G44" s="7" t="s">
        <v>284</v>
      </c>
      <c r="H44" s="24"/>
      <c r="I44" s="25"/>
    </row>
    <row r="45" ht="32" customHeight="1" spans="2:9">
      <c r="B45" s="20" t="s">
        <v>285</v>
      </c>
      <c r="C45" s="9" t="s">
        <v>286</v>
      </c>
      <c r="D45" s="24"/>
      <c r="E45" s="25"/>
      <c r="F45" s="20" t="s">
        <v>287</v>
      </c>
      <c r="G45" s="9" t="s">
        <v>288</v>
      </c>
      <c r="H45" s="24"/>
      <c r="I45" s="25"/>
    </row>
    <row r="47" ht="24" customHeight="1" spans="2:9">
      <c r="B47" s="5" t="s">
        <v>289</v>
      </c>
      <c r="C47" s="24"/>
      <c r="D47" s="24"/>
      <c r="E47" s="24"/>
      <c r="F47" s="24"/>
      <c r="G47" s="24"/>
      <c r="H47" s="24"/>
      <c r="I47" s="25"/>
    </row>
    <row r="48" ht="28" customHeight="1" spans="2:9">
      <c r="B48" s="6" t="s">
        <v>290</v>
      </c>
      <c r="C48" s="6" t="s">
        <v>291</v>
      </c>
      <c r="D48" s="24"/>
      <c r="E48" s="24"/>
      <c r="F48" s="25"/>
      <c r="G48" s="6" t="s">
        <v>292</v>
      </c>
      <c r="H48" s="24"/>
      <c r="I48" s="25"/>
    </row>
    <row r="49" ht="24" customHeight="1" spans="2:9">
      <c r="B49" s="3" t="s">
        <v>293</v>
      </c>
      <c r="C49" s="7" t="s">
        <v>294</v>
      </c>
      <c r="D49" s="24"/>
      <c r="E49" s="24"/>
      <c r="F49" s="25"/>
      <c r="G49" s="8" t="s">
        <v>295</v>
      </c>
      <c r="H49" s="24"/>
      <c r="I49" s="25"/>
    </row>
    <row r="50" ht="24" customHeight="1" spans="2:9">
      <c r="B50" s="20" t="s">
        <v>296</v>
      </c>
      <c r="C50" s="9" t="s">
        <v>297</v>
      </c>
      <c r="D50" s="24"/>
      <c r="E50" s="24"/>
      <c r="F50" s="25"/>
      <c r="G50" s="20" t="s">
        <v>295</v>
      </c>
      <c r="H50" s="24"/>
      <c r="I50" s="25"/>
    </row>
    <row r="51" ht="24" customHeight="1" spans="2:9">
      <c r="B51" s="3" t="s">
        <v>298</v>
      </c>
      <c r="C51" s="7" t="s">
        <v>299</v>
      </c>
      <c r="D51" s="24"/>
      <c r="E51" s="24"/>
      <c r="F51" s="25"/>
      <c r="G51" s="8" t="s">
        <v>295</v>
      </c>
      <c r="H51" s="24"/>
      <c r="I51" s="25"/>
    </row>
    <row r="52" ht="24" customHeight="1" spans="2:9">
      <c r="B52" s="20" t="s">
        <v>300</v>
      </c>
      <c r="C52" s="9" t="s">
        <v>301</v>
      </c>
      <c r="D52" s="24"/>
      <c r="E52" s="24"/>
      <c r="F52" s="25"/>
      <c r="G52" s="20" t="s">
        <v>295</v>
      </c>
      <c r="H52" s="24"/>
      <c r="I52" s="25"/>
    </row>
    <row r="53" ht="24" customHeight="1" spans="2:9">
      <c r="B53" s="3" t="s">
        <v>302</v>
      </c>
      <c r="C53" s="7" t="s">
        <v>303</v>
      </c>
      <c r="D53" s="24"/>
      <c r="E53" s="24"/>
      <c r="F53" s="25"/>
      <c r="G53" s="8" t="s">
        <v>304</v>
      </c>
      <c r="H53" s="24"/>
      <c r="I53" s="25"/>
    </row>
    <row r="54" ht="24" customHeight="1" spans="2:9">
      <c r="B54" s="20" t="s">
        <v>305</v>
      </c>
      <c r="C54" s="9" t="s">
        <v>306</v>
      </c>
      <c r="D54" s="24"/>
      <c r="E54" s="24"/>
      <c r="F54" s="25"/>
      <c r="G54" s="20" t="s">
        <v>307</v>
      </c>
      <c r="H54" s="24"/>
      <c r="I54" s="25"/>
    </row>
    <row r="55" ht="24" customHeight="1" spans="2:9">
      <c r="B55" s="3" t="s">
        <v>308</v>
      </c>
      <c r="C55" s="7" t="s">
        <v>309</v>
      </c>
      <c r="D55" s="24"/>
      <c r="E55" s="24"/>
      <c r="F55" s="25"/>
      <c r="G55" s="8" t="s">
        <v>310</v>
      </c>
      <c r="H55" s="24"/>
      <c r="I55" s="25"/>
    </row>
    <row r="56" ht="24" customHeight="1" spans="2:9">
      <c r="B56" s="20" t="s">
        <v>311</v>
      </c>
      <c r="C56" s="9" t="s">
        <v>312</v>
      </c>
      <c r="D56" s="24"/>
      <c r="E56" s="24"/>
      <c r="F56" s="25"/>
      <c r="G56" s="20" t="s">
        <v>295</v>
      </c>
      <c r="H56" s="24"/>
      <c r="I56" s="25"/>
    </row>
    <row r="57" ht="24" customHeight="1" spans="2:9">
      <c r="B57" s="3" t="s">
        <v>313</v>
      </c>
      <c r="C57" s="7" t="s">
        <v>314</v>
      </c>
      <c r="D57" s="24"/>
      <c r="E57" s="24"/>
      <c r="F57" s="25"/>
      <c r="G57" s="8" t="s">
        <v>307</v>
      </c>
      <c r="H57" s="24"/>
      <c r="I57" s="25"/>
    </row>
    <row r="58" ht="24" customHeight="1" spans="2:9">
      <c r="B58" s="20" t="s">
        <v>315</v>
      </c>
      <c r="C58" s="9" t="s">
        <v>316</v>
      </c>
      <c r="D58" s="24"/>
      <c r="E58" s="24"/>
      <c r="F58" s="25"/>
      <c r="G58" s="20" t="s">
        <v>307</v>
      </c>
      <c r="H58" s="24"/>
      <c r="I58" s="25"/>
    </row>
  </sheetData>
  <mergeCells count="85">
    <mergeCell ref="B6:I6"/>
    <mergeCell ref="B7:C7"/>
    <mergeCell ref="D7:E7"/>
    <mergeCell ref="F7:G7"/>
    <mergeCell ref="H7:I7"/>
    <mergeCell ref="B9:I9"/>
    <mergeCell ref="B11:I11"/>
    <mergeCell ref="C12:F12"/>
    <mergeCell ref="G12:I12"/>
    <mergeCell ref="C13:F13"/>
    <mergeCell ref="G13:I13"/>
    <mergeCell ref="C14:F14"/>
    <mergeCell ref="G14:I14"/>
    <mergeCell ref="C15:F15"/>
    <mergeCell ref="G15:I15"/>
    <mergeCell ref="C16:F16"/>
    <mergeCell ref="G16:I16"/>
    <mergeCell ref="B18:I18"/>
    <mergeCell ref="C19:E19"/>
    <mergeCell ref="F19:G19"/>
    <mergeCell ref="H19:I19"/>
    <mergeCell ref="C20:E20"/>
    <mergeCell ref="F20:G20"/>
    <mergeCell ref="H20:I20"/>
    <mergeCell ref="C21:E21"/>
    <mergeCell ref="F21:G21"/>
    <mergeCell ref="H21:I21"/>
    <mergeCell ref="C22:E22"/>
    <mergeCell ref="F22:G22"/>
    <mergeCell ref="H22:I22"/>
    <mergeCell ref="C23:E23"/>
    <mergeCell ref="F23:G23"/>
    <mergeCell ref="H23:I23"/>
    <mergeCell ref="C24:E24"/>
    <mergeCell ref="F24:G24"/>
    <mergeCell ref="H24:I24"/>
    <mergeCell ref="B26:I26"/>
    <mergeCell ref="C27:E27"/>
    <mergeCell ref="C28:E28"/>
    <mergeCell ref="H28:I28"/>
    <mergeCell ref="C29:E29"/>
    <mergeCell ref="H29:I29"/>
    <mergeCell ref="C30:E30"/>
    <mergeCell ref="H30:I30"/>
    <mergeCell ref="C31:E31"/>
    <mergeCell ref="H31:I31"/>
    <mergeCell ref="C32:E32"/>
    <mergeCell ref="H32:I32"/>
    <mergeCell ref="C33:E33"/>
    <mergeCell ref="H33:I33"/>
    <mergeCell ref="B35:I35"/>
    <mergeCell ref="B40:I40"/>
    <mergeCell ref="C41:E41"/>
    <mergeCell ref="G41:I41"/>
    <mergeCell ref="C42:E42"/>
    <mergeCell ref="G42:I42"/>
    <mergeCell ref="C43:E43"/>
    <mergeCell ref="G43:I43"/>
    <mergeCell ref="C44:E44"/>
    <mergeCell ref="G44:I44"/>
    <mergeCell ref="C45:E45"/>
    <mergeCell ref="G45:I45"/>
    <mergeCell ref="B47:I47"/>
    <mergeCell ref="C48:F48"/>
    <mergeCell ref="G48:I48"/>
    <mergeCell ref="C49:F49"/>
    <mergeCell ref="G49:I49"/>
    <mergeCell ref="C50:F50"/>
    <mergeCell ref="G50:I50"/>
    <mergeCell ref="C51:F51"/>
    <mergeCell ref="G51:I51"/>
    <mergeCell ref="C52:F52"/>
    <mergeCell ref="G52:I52"/>
    <mergeCell ref="C53:F53"/>
    <mergeCell ref="G53:I53"/>
    <mergeCell ref="C54:F54"/>
    <mergeCell ref="G54:I54"/>
    <mergeCell ref="C55:F55"/>
    <mergeCell ref="G55:I55"/>
    <mergeCell ref="C56:F56"/>
    <mergeCell ref="G56:I56"/>
    <mergeCell ref="C57:F57"/>
    <mergeCell ref="G57:I57"/>
    <mergeCell ref="C58:F58"/>
    <mergeCell ref="G58:I5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51"/>
  <sheetViews>
    <sheetView showGridLines="0" workbookViewId="0">
      <selection activeCell="A1" sqref="A1"/>
    </sheetView>
  </sheetViews>
  <sheetFormatPr defaultColWidth="9" defaultRowHeight="14"/>
  <cols>
    <col min="1" max="1" width="2" customWidth="1"/>
    <col min="2" max="2" width="18" customWidth="1"/>
    <col min="3" max="9" width="16" customWidth="1"/>
  </cols>
  <sheetData>
    <row r="2" ht="32" customHeight="1" spans="2:9">
      <c r="B2" s="1" t="s">
        <v>317</v>
      </c>
    </row>
    <row r="3" spans="2:9">
      <c r="B3" s="2" t="s">
        <v>318</v>
      </c>
    </row>
    <row r="4" spans="2:9">
      <c r="B4" s="3" t="s">
        <v>72</v>
      </c>
      <c r="C4" s="4" t="s">
        <v>73</v>
      </c>
      <c r="D4" s="3" t="s">
        <v>74</v>
      </c>
      <c r="E4" s="4" t="s">
        <v>75</v>
      </c>
      <c r="F4" s="3" t="s">
        <v>76</v>
      </c>
      <c r="G4" s="4" t="s">
        <v>77</v>
      </c>
      <c r="H4" s="3" t="s">
        <v>78</v>
      </c>
      <c r="I4" s="4" t="s">
        <v>79</v>
      </c>
    </row>
    <row r="6" ht="24" customHeight="1" spans="2:9">
      <c r="B6" s="5" t="s">
        <v>176</v>
      </c>
      <c r="C6" s="24"/>
      <c r="D6" s="24"/>
      <c r="E6" s="24"/>
      <c r="F6" s="24"/>
      <c r="G6" s="24"/>
      <c r="H6" s="24"/>
      <c r="I6" s="25"/>
    </row>
    <row r="7" spans="2:9">
      <c r="B7" s="8" t="s">
        <v>319</v>
      </c>
      <c r="C7" s="25"/>
      <c r="D7" s="8" t="s">
        <v>320</v>
      </c>
      <c r="E7" s="25"/>
      <c r="F7" s="8" t="s">
        <v>321</v>
      </c>
      <c r="G7" s="25"/>
      <c r="H7" s="8" t="s">
        <v>322</v>
      </c>
      <c r="I7" s="25"/>
    </row>
    <row r="8" ht="17.5" spans="2:9">
      <c r="B8" s="45" t="s">
        <v>181</v>
      </c>
      <c r="D8" s="45" t="s">
        <v>181</v>
      </c>
      <c r="F8" s="45" t="s">
        <v>181</v>
      </c>
    </row>
    <row r="9" spans="2:9">
      <c r="B9" s="40" t="s">
        <v>323</v>
      </c>
    </row>
    <row r="11" ht="24" customHeight="1" spans="2:9">
      <c r="B11" s="5" t="s">
        <v>183</v>
      </c>
      <c r="C11" s="24"/>
      <c r="D11" s="24"/>
      <c r="E11" s="24"/>
      <c r="F11" s="24"/>
      <c r="G11" s="24"/>
      <c r="H11" s="24"/>
      <c r="I11" s="25"/>
    </row>
    <row r="12" ht="28" customHeight="1" spans="2:9">
      <c r="B12" s="6" t="s">
        <v>184</v>
      </c>
      <c r="C12" s="6" t="s">
        <v>185</v>
      </c>
      <c r="D12" s="24"/>
      <c r="E12" s="24"/>
      <c r="F12" s="25"/>
      <c r="G12" s="6" t="s">
        <v>324</v>
      </c>
      <c r="H12" s="24"/>
      <c r="I12" s="25"/>
    </row>
    <row r="13" ht="56" customHeight="1" spans="2:9">
      <c r="B13" s="3" t="s">
        <v>325</v>
      </c>
      <c r="C13" s="7" t="s">
        <v>326</v>
      </c>
      <c r="D13" s="24"/>
      <c r="E13" s="24"/>
      <c r="F13" s="25"/>
      <c r="G13" s="41" t="s">
        <v>327</v>
      </c>
      <c r="H13" s="24"/>
      <c r="I13" s="25"/>
    </row>
    <row r="14" ht="56" customHeight="1" spans="2:9">
      <c r="B14" s="20" t="s">
        <v>136</v>
      </c>
      <c r="C14" s="9" t="s">
        <v>328</v>
      </c>
      <c r="D14" s="24"/>
      <c r="E14" s="24"/>
      <c r="F14" s="25"/>
      <c r="G14" s="42" t="s">
        <v>329</v>
      </c>
      <c r="H14" s="24"/>
      <c r="I14" s="25"/>
    </row>
    <row r="15" ht="56" customHeight="1" spans="2:9">
      <c r="B15" s="3" t="s">
        <v>330</v>
      </c>
      <c r="C15" s="7" t="s">
        <v>331</v>
      </c>
      <c r="D15" s="24"/>
      <c r="E15" s="24"/>
      <c r="F15" s="25"/>
      <c r="G15" s="41" t="s">
        <v>332</v>
      </c>
      <c r="H15" s="24"/>
      <c r="I15" s="25"/>
    </row>
    <row r="16" ht="56" customHeight="1" spans="2:9">
      <c r="B16" s="20" t="s">
        <v>333</v>
      </c>
      <c r="C16" s="9" t="s">
        <v>334</v>
      </c>
      <c r="D16" s="24"/>
      <c r="E16" s="24"/>
      <c r="F16" s="25"/>
      <c r="G16" s="42" t="s">
        <v>335</v>
      </c>
      <c r="H16" s="24"/>
      <c r="I16" s="25"/>
    </row>
    <row r="18" ht="24" customHeight="1" spans="2:9">
      <c r="B18" s="5" t="s">
        <v>199</v>
      </c>
      <c r="C18" s="24"/>
      <c r="D18" s="24"/>
      <c r="E18" s="24"/>
      <c r="F18" s="24"/>
      <c r="G18" s="24"/>
      <c r="H18" s="24"/>
      <c r="I18" s="25"/>
    </row>
    <row r="19" ht="28" customHeight="1" spans="2:9">
      <c r="B19" s="6" t="s">
        <v>336</v>
      </c>
      <c r="C19" s="6" t="s">
        <v>201</v>
      </c>
      <c r="D19" s="24"/>
      <c r="E19" s="25"/>
      <c r="F19" s="6" t="s">
        <v>337</v>
      </c>
      <c r="G19" s="25"/>
      <c r="H19" s="6" t="s">
        <v>203</v>
      </c>
      <c r="I19" s="25"/>
    </row>
    <row r="20" ht="42" customHeight="1" spans="2:9">
      <c r="B20" s="3" t="s">
        <v>338</v>
      </c>
      <c r="C20" s="7" t="s">
        <v>339</v>
      </c>
      <c r="D20" s="24"/>
      <c r="E20" s="25"/>
      <c r="F20" s="7" t="s">
        <v>340</v>
      </c>
      <c r="G20" s="25"/>
      <c r="H20" s="7" t="s">
        <v>341</v>
      </c>
      <c r="I20" s="25"/>
    </row>
    <row r="21" ht="42" customHeight="1" spans="2:9">
      <c r="B21" s="20" t="s">
        <v>342</v>
      </c>
      <c r="C21" s="9" t="s">
        <v>343</v>
      </c>
      <c r="D21" s="24"/>
      <c r="E21" s="25"/>
      <c r="F21" s="9" t="s">
        <v>344</v>
      </c>
      <c r="G21" s="25"/>
      <c r="H21" s="9" t="s">
        <v>345</v>
      </c>
      <c r="I21" s="25"/>
    </row>
    <row r="22" ht="42" customHeight="1" spans="2:9">
      <c r="B22" s="3" t="s">
        <v>346</v>
      </c>
      <c r="C22" s="7" t="s">
        <v>347</v>
      </c>
      <c r="D22" s="24"/>
      <c r="E22" s="25"/>
      <c r="F22" s="7" t="s">
        <v>348</v>
      </c>
      <c r="G22" s="25"/>
      <c r="H22" s="7" t="s">
        <v>349</v>
      </c>
      <c r="I22" s="25"/>
    </row>
    <row r="23" ht="42" customHeight="1" spans="2:9">
      <c r="B23" s="20" t="s">
        <v>350</v>
      </c>
      <c r="C23" s="9" t="s">
        <v>351</v>
      </c>
      <c r="D23" s="24"/>
      <c r="E23" s="25"/>
      <c r="F23" s="9" t="s">
        <v>352</v>
      </c>
      <c r="G23" s="25"/>
      <c r="H23" s="9" t="s">
        <v>353</v>
      </c>
      <c r="I23" s="25"/>
    </row>
    <row r="25" ht="24" customHeight="1" spans="2:9">
      <c r="B25" s="5" t="s">
        <v>224</v>
      </c>
      <c r="C25" s="24"/>
      <c r="D25" s="24"/>
      <c r="E25" s="24"/>
      <c r="F25" s="24"/>
      <c r="G25" s="24"/>
      <c r="H25" s="24"/>
      <c r="I25" s="25"/>
    </row>
    <row r="26" ht="28" customHeight="1" spans="2:9">
      <c r="B26" s="6" t="s">
        <v>225</v>
      </c>
      <c r="C26" s="6" t="s">
        <v>226</v>
      </c>
      <c r="D26" s="24"/>
      <c r="E26" s="25"/>
      <c r="F26" s="6" t="s">
        <v>227</v>
      </c>
      <c r="G26" s="6" t="s">
        <v>228</v>
      </c>
      <c r="H26" s="6" t="s">
        <v>354</v>
      </c>
      <c r="I26" s="6"/>
    </row>
    <row r="27" ht="36" customHeight="1" spans="2:9">
      <c r="B27" s="3" t="s">
        <v>230</v>
      </c>
      <c r="C27" s="7" t="s">
        <v>355</v>
      </c>
      <c r="D27" s="24"/>
      <c r="E27" s="25"/>
      <c r="F27" s="7" t="s">
        <v>356</v>
      </c>
      <c r="G27" s="8" t="s">
        <v>233</v>
      </c>
      <c r="H27" s="41" t="s">
        <v>357</v>
      </c>
      <c r="I27" s="25"/>
    </row>
    <row r="28" ht="36" customHeight="1" spans="2:9">
      <c r="B28" s="20" t="s">
        <v>358</v>
      </c>
      <c r="C28" s="9" t="s">
        <v>359</v>
      </c>
      <c r="D28" s="24"/>
      <c r="E28" s="25"/>
      <c r="F28" s="9" t="s">
        <v>360</v>
      </c>
      <c r="G28" s="20" t="s">
        <v>238</v>
      </c>
      <c r="H28" s="42" t="s">
        <v>361</v>
      </c>
      <c r="I28" s="25"/>
    </row>
    <row r="29" ht="36" customHeight="1" spans="2:9">
      <c r="B29" s="3" t="s">
        <v>362</v>
      </c>
      <c r="C29" s="7" t="s">
        <v>363</v>
      </c>
      <c r="D29" s="24"/>
      <c r="E29" s="25"/>
      <c r="F29" s="7" t="s">
        <v>364</v>
      </c>
      <c r="G29" s="8" t="s">
        <v>238</v>
      </c>
      <c r="H29" s="41" t="s">
        <v>365</v>
      </c>
      <c r="I29" s="25"/>
    </row>
    <row r="30" ht="36" customHeight="1" spans="2:9">
      <c r="B30" s="20" t="s">
        <v>366</v>
      </c>
      <c r="C30" s="9" t="s">
        <v>367</v>
      </c>
      <c r="D30" s="24"/>
      <c r="E30" s="25"/>
      <c r="F30" s="9" t="s">
        <v>368</v>
      </c>
      <c r="G30" s="20" t="s">
        <v>238</v>
      </c>
      <c r="H30" s="42" t="s">
        <v>369</v>
      </c>
      <c r="I30" s="25"/>
    </row>
    <row r="31" ht="36" customHeight="1" spans="2:9">
      <c r="B31" s="3" t="s">
        <v>370</v>
      </c>
      <c r="C31" s="7" t="s">
        <v>371</v>
      </c>
      <c r="D31" s="24"/>
      <c r="E31" s="25"/>
      <c r="F31" s="7" t="s">
        <v>372</v>
      </c>
      <c r="G31" s="8" t="s">
        <v>373</v>
      </c>
      <c r="H31" s="41" t="s">
        <v>374</v>
      </c>
      <c r="I31" s="25"/>
    </row>
    <row r="32" ht="36" customHeight="1" spans="2:9">
      <c r="B32" s="20" t="s">
        <v>375</v>
      </c>
      <c r="C32" s="9" t="s">
        <v>376</v>
      </c>
      <c r="D32" s="24"/>
      <c r="E32" s="25"/>
      <c r="F32" s="9" t="s">
        <v>377</v>
      </c>
      <c r="G32" s="20" t="s">
        <v>251</v>
      </c>
      <c r="H32" s="42" t="s">
        <v>378</v>
      </c>
      <c r="I32" s="25"/>
    </row>
    <row r="34" ht="24" customHeight="1" spans="2:9">
      <c r="B34" s="5" t="s">
        <v>379</v>
      </c>
      <c r="C34" s="24"/>
      <c r="D34" s="24"/>
      <c r="E34" s="24"/>
      <c r="F34" s="24"/>
      <c r="G34" s="24"/>
      <c r="H34" s="24"/>
      <c r="I34" s="25"/>
    </row>
    <row r="35" ht="28" customHeight="1" spans="2:9">
      <c r="B35" s="6" t="s">
        <v>290</v>
      </c>
      <c r="C35" s="6" t="s">
        <v>380</v>
      </c>
      <c r="D35" s="24"/>
      <c r="E35" s="24"/>
      <c r="F35" s="25"/>
      <c r="G35" s="6" t="s">
        <v>292</v>
      </c>
      <c r="H35" s="24"/>
      <c r="I35" s="25"/>
    </row>
    <row r="36" ht="22" customHeight="1" spans="2:9">
      <c r="B36" s="3" t="s">
        <v>296</v>
      </c>
      <c r="C36" s="7" t="s">
        <v>381</v>
      </c>
      <c r="D36" s="24"/>
      <c r="E36" s="24"/>
      <c r="F36" s="25"/>
      <c r="G36" s="8" t="s">
        <v>295</v>
      </c>
      <c r="H36" s="24"/>
      <c r="I36" s="25"/>
    </row>
    <row r="37" ht="22" customHeight="1" spans="2:9">
      <c r="B37" s="20" t="s">
        <v>293</v>
      </c>
      <c r="C37" s="9" t="s">
        <v>382</v>
      </c>
      <c r="D37" s="24"/>
      <c r="E37" s="24"/>
      <c r="F37" s="25"/>
      <c r="G37" s="20" t="s">
        <v>295</v>
      </c>
      <c r="H37" s="24"/>
      <c r="I37" s="25"/>
    </row>
    <row r="38" ht="22" customHeight="1" spans="2:9">
      <c r="B38" s="3" t="s">
        <v>298</v>
      </c>
      <c r="C38" s="7" t="s">
        <v>383</v>
      </c>
      <c r="D38" s="24"/>
      <c r="E38" s="24"/>
      <c r="F38" s="25"/>
      <c r="G38" s="8" t="s">
        <v>295</v>
      </c>
      <c r="H38" s="24"/>
      <c r="I38" s="25"/>
    </row>
    <row r="39" ht="22" customHeight="1" spans="2:9">
      <c r="B39" s="20" t="s">
        <v>300</v>
      </c>
      <c r="C39" s="9" t="s">
        <v>384</v>
      </c>
      <c r="D39" s="24"/>
      <c r="E39" s="24"/>
      <c r="F39" s="25"/>
      <c r="G39" s="20" t="s">
        <v>295</v>
      </c>
      <c r="H39" s="24"/>
      <c r="I39" s="25"/>
    </row>
    <row r="40" ht="22" customHeight="1" spans="2:9">
      <c r="B40" s="3" t="s">
        <v>305</v>
      </c>
      <c r="C40" s="7" t="s">
        <v>385</v>
      </c>
      <c r="D40" s="24"/>
      <c r="E40" s="24"/>
      <c r="F40" s="25"/>
      <c r="G40" s="8" t="s">
        <v>307</v>
      </c>
      <c r="H40" s="24"/>
      <c r="I40" s="25"/>
    </row>
    <row r="41" ht="22" customHeight="1" spans="2:9">
      <c r="B41" s="20" t="s">
        <v>302</v>
      </c>
      <c r="C41" s="9" t="s">
        <v>386</v>
      </c>
      <c r="D41" s="24"/>
      <c r="E41" s="24"/>
      <c r="F41" s="25"/>
      <c r="G41" s="20" t="s">
        <v>304</v>
      </c>
      <c r="H41" s="24"/>
      <c r="I41" s="25"/>
    </row>
    <row r="42" ht="22" customHeight="1" spans="2:9">
      <c r="B42" s="3" t="s">
        <v>313</v>
      </c>
      <c r="C42" s="7" t="s">
        <v>387</v>
      </c>
      <c r="D42" s="24"/>
      <c r="E42" s="24"/>
      <c r="F42" s="25"/>
      <c r="G42" s="8" t="s">
        <v>307</v>
      </c>
      <c r="H42" s="24"/>
      <c r="I42" s="25"/>
    </row>
    <row r="43" ht="22" customHeight="1" spans="2:9">
      <c r="B43" s="20" t="s">
        <v>311</v>
      </c>
      <c r="C43" s="9" t="s">
        <v>388</v>
      </c>
      <c r="D43" s="24"/>
      <c r="E43" s="24"/>
      <c r="F43" s="25"/>
      <c r="G43" s="20" t="s">
        <v>295</v>
      </c>
      <c r="H43" s="24"/>
      <c r="I43" s="25"/>
    </row>
    <row r="44" ht="22" customHeight="1" spans="2:9">
      <c r="B44" s="3" t="s">
        <v>308</v>
      </c>
      <c r="C44" s="7" t="s">
        <v>389</v>
      </c>
      <c r="D44" s="24"/>
      <c r="E44" s="24"/>
      <c r="F44" s="25"/>
      <c r="G44" s="8" t="s">
        <v>310</v>
      </c>
      <c r="H44" s="24"/>
      <c r="I44" s="25"/>
    </row>
    <row r="45" ht="22" customHeight="1" spans="2:9">
      <c r="B45" s="20" t="s">
        <v>315</v>
      </c>
      <c r="C45" s="9" t="s">
        <v>390</v>
      </c>
      <c r="D45" s="24"/>
      <c r="E45" s="24"/>
      <c r="F45" s="25"/>
      <c r="G45" s="20" t="s">
        <v>307</v>
      </c>
      <c r="H45" s="24"/>
      <c r="I45" s="25"/>
    </row>
    <row r="47" ht="24" customHeight="1" spans="2:9">
      <c r="B47" s="5" t="s">
        <v>391</v>
      </c>
      <c r="C47" s="24"/>
      <c r="D47" s="24"/>
      <c r="E47" s="24"/>
      <c r="F47" s="24"/>
      <c r="G47" s="24"/>
      <c r="H47" s="24"/>
      <c r="I47" s="25"/>
    </row>
    <row r="48" ht="28" customHeight="1" spans="2:9">
      <c r="B48" s="6" t="s">
        <v>392</v>
      </c>
      <c r="C48" s="6" t="s">
        <v>393</v>
      </c>
      <c r="D48" s="25"/>
      <c r="E48" s="6" t="s">
        <v>394</v>
      </c>
      <c r="F48" s="25"/>
      <c r="G48" s="6" t="s">
        <v>395</v>
      </c>
      <c r="H48" s="24"/>
      <c r="I48" s="25"/>
    </row>
    <row r="49" ht="22" customHeight="1" spans="2:9">
      <c r="B49" s="3" t="s">
        <v>396</v>
      </c>
      <c r="C49" s="4" t="s">
        <v>397</v>
      </c>
      <c r="D49" s="25"/>
      <c r="E49" s="7" t="s">
        <v>398</v>
      </c>
      <c r="F49" s="25"/>
      <c r="G49" s="8" t="s">
        <v>399</v>
      </c>
      <c r="H49" s="24"/>
      <c r="I49" s="25"/>
    </row>
    <row r="50" ht="22" customHeight="1" spans="2:9">
      <c r="B50" s="20" t="s">
        <v>400</v>
      </c>
      <c r="C50" s="32" t="s">
        <v>397</v>
      </c>
      <c r="D50" s="25"/>
      <c r="E50" s="9" t="s">
        <v>401</v>
      </c>
      <c r="F50" s="25"/>
      <c r="G50" s="20" t="s">
        <v>402</v>
      </c>
      <c r="H50" s="24"/>
      <c r="I50" s="25"/>
    </row>
    <row r="51" ht="22" customHeight="1" spans="2:9">
      <c r="B51" s="3" t="s">
        <v>403</v>
      </c>
      <c r="C51" s="4" t="s">
        <v>404</v>
      </c>
      <c r="D51" s="25"/>
      <c r="E51" s="7" t="s">
        <v>405</v>
      </c>
      <c r="F51" s="25"/>
      <c r="G51" s="8" t="s">
        <v>406</v>
      </c>
      <c r="H51" s="24"/>
      <c r="I51" s="25"/>
    </row>
  </sheetData>
  <mergeCells count="83">
    <mergeCell ref="B6:I6"/>
    <mergeCell ref="B7:C7"/>
    <mergeCell ref="D7:E7"/>
    <mergeCell ref="F7:G7"/>
    <mergeCell ref="H7:I7"/>
    <mergeCell ref="B9:I9"/>
    <mergeCell ref="B11:I11"/>
    <mergeCell ref="C12:F12"/>
    <mergeCell ref="G12:I12"/>
    <mergeCell ref="C13:F13"/>
    <mergeCell ref="G13:I13"/>
    <mergeCell ref="C14:F14"/>
    <mergeCell ref="G14:I14"/>
    <mergeCell ref="C15:F15"/>
    <mergeCell ref="G15:I15"/>
    <mergeCell ref="C16:F16"/>
    <mergeCell ref="G16:I16"/>
    <mergeCell ref="B18:I18"/>
    <mergeCell ref="C19:E19"/>
    <mergeCell ref="F19:G19"/>
    <mergeCell ref="H19:I19"/>
    <mergeCell ref="C20:E20"/>
    <mergeCell ref="F20:G20"/>
    <mergeCell ref="H20:I20"/>
    <mergeCell ref="C21:E21"/>
    <mergeCell ref="F21:G21"/>
    <mergeCell ref="H21:I21"/>
    <mergeCell ref="C22:E22"/>
    <mergeCell ref="F22:G22"/>
    <mergeCell ref="H22:I22"/>
    <mergeCell ref="C23:E23"/>
    <mergeCell ref="F23:G23"/>
    <mergeCell ref="H23:I23"/>
    <mergeCell ref="B25:I25"/>
    <mergeCell ref="C26:E26"/>
    <mergeCell ref="C27:E27"/>
    <mergeCell ref="H27:I27"/>
    <mergeCell ref="C28:E28"/>
    <mergeCell ref="H28:I28"/>
    <mergeCell ref="C29:E29"/>
    <mergeCell ref="H29:I29"/>
    <mergeCell ref="C30:E30"/>
    <mergeCell ref="H30:I30"/>
    <mergeCell ref="C31:E31"/>
    <mergeCell ref="H31:I31"/>
    <mergeCell ref="C32:E32"/>
    <mergeCell ref="H32:I32"/>
    <mergeCell ref="B34:I34"/>
    <mergeCell ref="C35:F35"/>
    <mergeCell ref="G35:I35"/>
    <mergeCell ref="C36:F36"/>
    <mergeCell ref="G36:I36"/>
    <mergeCell ref="C37:F37"/>
    <mergeCell ref="G37:I37"/>
    <mergeCell ref="C38:F38"/>
    <mergeCell ref="G38:I38"/>
    <mergeCell ref="C39:F39"/>
    <mergeCell ref="G39:I39"/>
    <mergeCell ref="C40:F40"/>
    <mergeCell ref="G40:I40"/>
    <mergeCell ref="C41:F41"/>
    <mergeCell ref="G41:I41"/>
    <mergeCell ref="C42:F42"/>
    <mergeCell ref="G42:I42"/>
    <mergeCell ref="C43:F43"/>
    <mergeCell ref="G43:I43"/>
    <mergeCell ref="C44:F44"/>
    <mergeCell ref="G44:I44"/>
    <mergeCell ref="C45:F45"/>
    <mergeCell ref="G45:I45"/>
    <mergeCell ref="B47:I47"/>
    <mergeCell ref="C48:D48"/>
    <mergeCell ref="E48:F48"/>
    <mergeCell ref="G48:I48"/>
    <mergeCell ref="C49:D49"/>
    <mergeCell ref="E49:F49"/>
    <mergeCell ref="G49:I49"/>
    <mergeCell ref="C50:D50"/>
    <mergeCell ref="E50:F50"/>
    <mergeCell ref="G50:I50"/>
    <mergeCell ref="C51:D51"/>
    <mergeCell ref="E51:F51"/>
    <mergeCell ref="G51:I5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53"/>
  <sheetViews>
    <sheetView showGridLines="0" workbookViewId="0">
      <selection activeCell="A1" sqref="A1"/>
    </sheetView>
  </sheetViews>
  <sheetFormatPr defaultColWidth="9" defaultRowHeight="14"/>
  <cols>
    <col min="1" max="1" width="2" customWidth="1"/>
    <col min="2" max="2" width="18" customWidth="1"/>
    <col min="3" max="9" width="16" customWidth="1"/>
  </cols>
  <sheetData>
    <row r="2" ht="32" customHeight="1" spans="2:9">
      <c r="B2" s="1" t="s">
        <v>38</v>
      </c>
    </row>
    <row r="3" spans="2:9">
      <c r="B3" s="2" t="s">
        <v>407</v>
      </c>
    </row>
    <row r="4" spans="2:9">
      <c r="B4" s="3" t="s">
        <v>72</v>
      </c>
      <c r="C4" s="4" t="s">
        <v>73</v>
      </c>
      <c r="D4" s="3" t="s">
        <v>74</v>
      </c>
      <c r="E4" s="4" t="s">
        <v>75</v>
      </c>
      <c r="F4" s="3" t="s">
        <v>76</v>
      </c>
      <c r="G4" s="4" t="s">
        <v>77</v>
      </c>
      <c r="H4" s="3" t="s">
        <v>78</v>
      </c>
      <c r="I4" s="4" t="s">
        <v>79</v>
      </c>
    </row>
    <row r="6" ht="24" customHeight="1" spans="2:9">
      <c r="B6" s="5" t="s">
        <v>176</v>
      </c>
      <c r="C6" s="24"/>
      <c r="D6" s="24"/>
      <c r="E6" s="24"/>
      <c r="F6" s="24"/>
      <c r="G6" s="24"/>
      <c r="H6" s="24"/>
      <c r="I6" s="25"/>
    </row>
    <row r="7" ht="17.5" spans="2:9">
      <c r="B7" s="8" t="s">
        <v>408</v>
      </c>
      <c r="C7" s="25"/>
      <c r="D7" s="44" t="s">
        <v>181</v>
      </c>
      <c r="F7" s="44" t="s">
        <v>181</v>
      </c>
      <c r="H7" s="44" t="s">
        <v>181</v>
      </c>
    </row>
    <row r="9" spans="2:9">
      <c r="B9" s="40" t="s">
        <v>409</v>
      </c>
    </row>
    <row r="11" ht="24" customHeight="1" spans="2:9">
      <c r="B11" s="5" t="s">
        <v>183</v>
      </c>
      <c r="C11" s="24"/>
      <c r="D11" s="24"/>
      <c r="E11" s="24"/>
      <c r="F11" s="24"/>
      <c r="G11" s="24"/>
      <c r="H11" s="24"/>
      <c r="I11" s="25"/>
    </row>
    <row r="12" ht="28" customHeight="1" spans="2:9">
      <c r="B12" s="6" t="s">
        <v>184</v>
      </c>
      <c r="C12" s="6" t="s">
        <v>185</v>
      </c>
      <c r="D12" s="24"/>
      <c r="E12" s="24"/>
      <c r="F12" s="25"/>
      <c r="G12" s="6" t="s">
        <v>324</v>
      </c>
      <c r="H12" s="24"/>
      <c r="I12" s="25"/>
    </row>
    <row r="13" ht="56" customHeight="1" spans="2:9">
      <c r="B13" s="3" t="s">
        <v>410</v>
      </c>
      <c r="C13" s="7" t="s">
        <v>411</v>
      </c>
      <c r="D13" s="24"/>
      <c r="E13" s="24"/>
      <c r="F13" s="25"/>
      <c r="G13" s="41" t="s">
        <v>412</v>
      </c>
      <c r="H13" s="24"/>
      <c r="I13" s="25"/>
    </row>
    <row r="14" ht="56" customHeight="1" spans="2:9">
      <c r="B14" s="20" t="s">
        <v>413</v>
      </c>
      <c r="C14" s="9" t="s">
        <v>414</v>
      </c>
      <c r="D14" s="24"/>
      <c r="E14" s="24"/>
      <c r="F14" s="25"/>
      <c r="G14" s="42" t="s">
        <v>415</v>
      </c>
      <c r="H14" s="24"/>
      <c r="I14" s="25"/>
    </row>
    <row r="15" ht="56" customHeight="1" spans="2:9">
      <c r="B15" s="3" t="s">
        <v>416</v>
      </c>
      <c r="C15" s="7" t="s">
        <v>417</v>
      </c>
      <c r="D15" s="24"/>
      <c r="E15" s="24"/>
      <c r="F15" s="25"/>
      <c r="G15" s="41" t="s">
        <v>418</v>
      </c>
      <c r="H15" s="24"/>
      <c r="I15" s="25"/>
    </row>
    <row r="16" ht="56" customHeight="1" spans="2:9">
      <c r="B16" s="20" t="s">
        <v>419</v>
      </c>
      <c r="C16" s="9" t="s">
        <v>420</v>
      </c>
      <c r="D16" s="24"/>
      <c r="E16" s="24"/>
      <c r="F16" s="25"/>
      <c r="G16" s="42" t="s">
        <v>421</v>
      </c>
      <c r="H16" s="24"/>
      <c r="I16" s="25"/>
    </row>
    <row r="17" ht="56" customHeight="1" spans="2:9">
      <c r="B17" s="3" t="s">
        <v>422</v>
      </c>
      <c r="C17" s="7" t="s">
        <v>423</v>
      </c>
      <c r="D17" s="24"/>
      <c r="E17" s="24"/>
      <c r="F17" s="25"/>
      <c r="G17" s="41" t="s">
        <v>424</v>
      </c>
      <c r="H17" s="24"/>
      <c r="I17" s="25"/>
    </row>
    <row r="19" ht="24" customHeight="1" spans="2:9">
      <c r="B19" s="5" t="s">
        <v>199</v>
      </c>
      <c r="C19" s="24"/>
      <c r="D19" s="24"/>
      <c r="E19" s="24"/>
      <c r="F19" s="24"/>
      <c r="G19" s="24"/>
      <c r="H19" s="24"/>
      <c r="I19" s="25"/>
    </row>
    <row r="20" ht="28" customHeight="1" spans="2:9">
      <c r="B20" s="6" t="s">
        <v>336</v>
      </c>
      <c r="C20" s="6" t="s">
        <v>201</v>
      </c>
      <c r="D20" s="24"/>
      <c r="E20" s="25"/>
      <c r="F20" s="6" t="s">
        <v>337</v>
      </c>
      <c r="G20" s="25"/>
      <c r="H20" s="6" t="s">
        <v>203</v>
      </c>
      <c r="I20" s="25"/>
    </row>
    <row r="21" ht="42" customHeight="1" spans="2:9">
      <c r="B21" s="3" t="s">
        <v>346</v>
      </c>
      <c r="C21" s="7" t="s">
        <v>425</v>
      </c>
      <c r="D21" s="24"/>
      <c r="E21" s="25"/>
      <c r="F21" s="7" t="s">
        <v>426</v>
      </c>
      <c r="G21" s="25"/>
      <c r="H21" s="7" t="s">
        <v>427</v>
      </c>
      <c r="I21" s="25"/>
    </row>
    <row r="22" ht="42" customHeight="1" spans="2:9">
      <c r="B22" s="20" t="s">
        <v>428</v>
      </c>
      <c r="C22" s="9" t="s">
        <v>429</v>
      </c>
      <c r="D22" s="24"/>
      <c r="E22" s="25"/>
      <c r="F22" s="9" t="s">
        <v>430</v>
      </c>
      <c r="G22" s="25"/>
      <c r="H22" s="9" t="s">
        <v>431</v>
      </c>
      <c r="I22" s="25"/>
    </row>
    <row r="23" ht="42" customHeight="1" spans="2:9">
      <c r="B23" s="3" t="s">
        <v>432</v>
      </c>
      <c r="C23" s="7" t="s">
        <v>433</v>
      </c>
      <c r="D23" s="24"/>
      <c r="E23" s="25"/>
      <c r="F23" s="7" t="s">
        <v>434</v>
      </c>
      <c r="G23" s="25"/>
      <c r="H23" s="7" t="s">
        <v>435</v>
      </c>
      <c r="I23" s="25"/>
    </row>
    <row r="24" ht="42" customHeight="1" spans="2:9">
      <c r="B24" s="20" t="s">
        <v>436</v>
      </c>
      <c r="C24" s="9" t="s">
        <v>437</v>
      </c>
      <c r="D24" s="24"/>
      <c r="E24" s="25"/>
      <c r="F24" s="9" t="s">
        <v>438</v>
      </c>
      <c r="G24" s="25"/>
      <c r="H24" s="9" t="s">
        <v>439</v>
      </c>
      <c r="I24" s="25"/>
    </row>
    <row r="26" ht="24" customHeight="1" spans="2:9">
      <c r="B26" s="5" t="s">
        <v>224</v>
      </c>
      <c r="C26" s="24"/>
      <c r="D26" s="24"/>
      <c r="E26" s="24"/>
      <c r="F26" s="24"/>
      <c r="G26" s="24"/>
      <c r="H26" s="24"/>
      <c r="I26" s="25"/>
    </row>
    <row r="27" ht="28" customHeight="1" spans="2:9">
      <c r="B27" s="6" t="s">
        <v>225</v>
      </c>
      <c r="C27" s="6" t="s">
        <v>226</v>
      </c>
      <c r="D27" s="24"/>
      <c r="E27" s="25"/>
      <c r="F27" s="6" t="s">
        <v>227</v>
      </c>
      <c r="G27" s="6" t="s">
        <v>228</v>
      </c>
      <c r="H27" s="6" t="s">
        <v>354</v>
      </c>
      <c r="I27" s="6"/>
    </row>
    <row r="28" ht="36" customHeight="1" spans="2:9">
      <c r="B28" s="3" t="s">
        <v>440</v>
      </c>
      <c r="C28" s="7" t="s">
        <v>441</v>
      </c>
      <c r="D28" s="24"/>
      <c r="E28" s="25"/>
      <c r="F28" s="7" t="s">
        <v>442</v>
      </c>
      <c r="G28" s="8" t="s">
        <v>233</v>
      </c>
      <c r="H28" s="41" t="s">
        <v>443</v>
      </c>
      <c r="I28" s="25"/>
    </row>
    <row r="29" ht="36" customHeight="1" spans="2:9">
      <c r="B29" s="20" t="s">
        <v>444</v>
      </c>
      <c r="C29" s="9" t="s">
        <v>445</v>
      </c>
      <c r="D29" s="24"/>
      <c r="E29" s="25"/>
      <c r="F29" s="9" t="s">
        <v>446</v>
      </c>
      <c r="G29" s="20" t="s">
        <v>233</v>
      </c>
      <c r="H29" s="42" t="s">
        <v>447</v>
      </c>
      <c r="I29" s="25"/>
    </row>
    <row r="30" ht="36" customHeight="1" spans="2:9">
      <c r="B30" s="3" t="s">
        <v>358</v>
      </c>
      <c r="C30" s="7" t="s">
        <v>448</v>
      </c>
      <c r="D30" s="24"/>
      <c r="E30" s="25"/>
      <c r="F30" s="7" t="s">
        <v>449</v>
      </c>
      <c r="G30" s="8" t="s">
        <v>238</v>
      </c>
      <c r="H30" s="41" t="s">
        <v>450</v>
      </c>
      <c r="I30" s="25"/>
    </row>
    <row r="31" ht="36" customHeight="1" spans="2:9">
      <c r="B31" s="20" t="s">
        <v>451</v>
      </c>
      <c r="C31" s="9" t="s">
        <v>452</v>
      </c>
      <c r="D31" s="24"/>
      <c r="E31" s="25"/>
      <c r="F31" s="9" t="s">
        <v>453</v>
      </c>
      <c r="G31" s="20" t="s">
        <v>233</v>
      </c>
      <c r="H31" s="42" t="s">
        <v>454</v>
      </c>
      <c r="I31" s="25"/>
    </row>
    <row r="32" ht="36" customHeight="1" spans="2:9">
      <c r="B32" s="3" t="s">
        <v>455</v>
      </c>
      <c r="C32" s="7" t="s">
        <v>456</v>
      </c>
      <c r="D32" s="24"/>
      <c r="E32" s="25"/>
      <c r="F32" s="7" t="s">
        <v>457</v>
      </c>
      <c r="G32" s="8" t="s">
        <v>458</v>
      </c>
      <c r="H32" s="41" t="s">
        <v>459</v>
      </c>
      <c r="I32" s="25"/>
    </row>
    <row r="33" ht="36" customHeight="1" spans="2:9">
      <c r="B33" s="20" t="s">
        <v>460</v>
      </c>
      <c r="C33" s="9" t="s">
        <v>461</v>
      </c>
      <c r="D33" s="24"/>
      <c r="E33" s="25"/>
      <c r="F33" s="9" t="s">
        <v>462</v>
      </c>
      <c r="G33" s="20" t="s">
        <v>233</v>
      </c>
      <c r="H33" s="42" t="s">
        <v>463</v>
      </c>
      <c r="I33" s="25"/>
    </row>
    <row r="35" ht="24" customHeight="1" spans="2:9">
      <c r="B35" s="5" t="s">
        <v>464</v>
      </c>
      <c r="C35" s="24"/>
      <c r="D35" s="24"/>
      <c r="E35" s="24"/>
      <c r="F35" s="24"/>
      <c r="G35" s="24"/>
      <c r="H35" s="24"/>
      <c r="I35" s="25"/>
    </row>
    <row r="36" ht="28" customHeight="1" spans="2:9">
      <c r="B36" s="6" t="s">
        <v>290</v>
      </c>
      <c r="C36" s="6" t="s">
        <v>465</v>
      </c>
      <c r="D36" s="24"/>
      <c r="E36" s="24"/>
      <c r="F36" s="25"/>
      <c r="G36" s="6" t="s">
        <v>292</v>
      </c>
      <c r="H36" s="24"/>
      <c r="I36" s="25"/>
    </row>
    <row r="37" ht="24" customHeight="1" spans="2:9">
      <c r="B37" s="3" t="s">
        <v>293</v>
      </c>
      <c r="C37" s="7" t="s">
        <v>466</v>
      </c>
      <c r="D37" s="24"/>
      <c r="E37" s="24"/>
      <c r="F37" s="25"/>
      <c r="G37" s="8" t="s">
        <v>295</v>
      </c>
      <c r="H37" s="24"/>
      <c r="I37" s="25"/>
    </row>
    <row r="38" ht="24" customHeight="1" spans="2:9">
      <c r="B38" s="20" t="s">
        <v>300</v>
      </c>
      <c r="C38" s="9" t="s">
        <v>467</v>
      </c>
      <c r="D38" s="24"/>
      <c r="E38" s="24"/>
      <c r="F38" s="25"/>
      <c r="G38" s="20" t="s">
        <v>295</v>
      </c>
      <c r="H38" s="24"/>
      <c r="I38" s="25"/>
    </row>
    <row r="39" ht="24" customHeight="1" spans="2:9">
      <c r="B39" s="3" t="s">
        <v>298</v>
      </c>
      <c r="C39" s="7" t="s">
        <v>468</v>
      </c>
      <c r="D39" s="24"/>
      <c r="E39" s="24"/>
      <c r="F39" s="25"/>
      <c r="G39" s="8" t="s">
        <v>295</v>
      </c>
      <c r="H39" s="24"/>
      <c r="I39" s="25"/>
    </row>
    <row r="40" ht="24" customHeight="1" spans="2:9">
      <c r="B40" s="20" t="s">
        <v>296</v>
      </c>
      <c r="C40" s="9" t="s">
        <v>469</v>
      </c>
      <c r="D40" s="24"/>
      <c r="E40" s="24"/>
      <c r="F40" s="25"/>
      <c r="G40" s="20" t="s">
        <v>295</v>
      </c>
      <c r="H40" s="24"/>
      <c r="I40" s="25"/>
    </row>
    <row r="41" ht="24" customHeight="1" spans="2:9">
      <c r="B41" s="3" t="s">
        <v>305</v>
      </c>
      <c r="C41" s="7" t="s">
        <v>470</v>
      </c>
      <c r="D41" s="24"/>
      <c r="E41" s="24"/>
      <c r="F41" s="25"/>
      <c r="G41" s="8" t="s">
        <v>307</v>
      </c>
      <c r="H41" s="24"/>
      <c r="I41" s="25"/>
    </row>
    <row r="42" ht="24" customHeight="1" spans="2:9">
      <c r="B42" s="20" t="s">
        <v>302</v>
      </c>
      <c r="C42" s="9" t="s">
        <v>471</v>
      </c>
      <c r="D42" s="24"/>
      <c r="E42" s="24"/>
      <c r="F42" s="25"/>
      <c r="G42" s="20" t="s">
        <v>307</v>
      </c>
      <c r="H42" s="24"/>
      <c r="I42" s="25"/>
    </row>
    <row r="43" ht="24" customHeight="1" spans="2:9">
      <c r="B43" s="3" t="s">
        <v>313</v>
      </c>
      <c r="C43" s="7" t="s">
        <v>472</v>
      </c>
      <c r="D43" s="24"/>
      <c r="E43" s="24"/>
      <c r="F43" s="25"/>
      <c r="G43" s="8" t="s">
        <v>307</v>
      </c>
      <c r="H43" s="24"/>
      <c r="I43" s="25"/>
    </row>
    <row r="44" ht="24" customHeight="1" spans="2:9">
      <c r="B44" s="20" t="s">
        <v>311</v>
      </c>
      <c r="C44" s="9" t="s">
        <v>473</v>
      </c>
      <c r="D44" s="24"/>
      <c r="E44" s="24"/>
      <c r="F44" s="25"/>
      <c r="G44" s="20" t="s">
        <v>474</v>
      </c>
      <c r="H44" s="24"/>
      <c r="I44" s="25"/>
    </row>
    <row r="45" ht="24" customHeight="1" spans="2:9">
      <c r="B45" s="3" t="s">
        <v>308</v>
      </c>
      <c r="C45" s="7" t="s">
        <v>475</v>
      </c>
      <c r="D45" s="24"/>
      <c r="E45" s="24"/>
      <c r="F45" s="25"/>
      <c r="G45" s="8" t="s">
        <v>310</v>
      </c>
      <c r="H45" s="24"/>
      <c r="I45" s="25"/>
    </row>
    <row r="46" ht="24" customHeight="1" spans="2:9">
      <c r="B46" s="20" t="s">
        <v>315</v>
      </c>
      <c r="C46" s="9" t="s">
        <v>476</v>
      </c>
      <c r="D46" s="24"/>
      <c r="E46" s="24"/>
      <c r="F46" s="25"/>
      <c r="G46" s="20" t="s">
        <v>474</v>
      </c>
      <c r="H46" s="24"/>
      <c r="I46" s="25"/>
    </row>
    <row r="48" ht="24" customHeight="1" spans="2:9">
      <c r="B48" s="5" t="s">
        <v>477</v>
      </c>
      <c r="C48" s="24"/>
      <c r="D48" s="24"/>
      <c r="E48" s="24"/>
      <c r="F48" s="24"/>
      <c r="G48" s="24"/>
      <c r="H48" s="24"/>
      <c r="I48" s="25"/>
    </row>
    <row r="49" ht="28" customHeight="1" spans="2:9">
      <c r="B49" s="6" t="s">
        <v>478</v>
      </c>
      <c r="C49" s="6" t="s">
        <v>393</v>
      </c>
      <c r="D49" s="25"/>
      <c r="E49" s="6" t="s">
        <v>394</v>
      </c>
      <c r="F49" s="24"/>
      <c r="G49" s="24"/>
      <c r="H49" s="24"/>
      <c r="I49" s="25"/>
    </row>
    <row r="50" ht="22" customHeight="1" spans="2:9">
      <c r="B50" s="3" t="s">
        <v>479</v>
      </c>
      <c r="C50" s="4" t="s">
        <v>480</v>
      </c>
      <c r="D50" s="25"/>
      <c r="E50" s="7" t="s">
        <v>481</v>
      </c>
      <c r="F50" s="24"/>
      <c r="G50" s="24"/>
      <c r="H50" s="24"/>
      <c r="I50" s="25"/>
    </row>
    <row r="51" ht="22" customHeight="1" spans="2:9">
      <c r="B51" s="20" t="s">
        <v>482</v>
      </c>
      <c r="C51" s="32" t="s">
        <v>483</v>
      </c>
      <c r="D51" s="25"/>
      <c r="E51" s="9" t="s">
        <v>484</v>
      </c>
      <c r="F51" s="24"/>
      <c r="G51" s="24"/>
      <c r="H51" s="24"/>
      <c r="I51" s="25"/>
    </row>
    <row r="52" ht="22" customHeight="1" spans="2:9">
      <c r="B52" s="3" t="s">
        <v>485</v>
      </c>
      <c r="C52" s="4" t="s">
        <v>486</v>
      </c>
      <c r="D52" s="25"/>
      <c r="E52" s="7" t="s">
        <v>487</v>
      </c>
      <c r="F52" s="24"/>
      <c r="G52" s="24"/>
      <c r="H52" s="24"/>
      <c r="I52" s="25"/>
    </row>
    <row r="53" ht="22" customHeight="1" spans="2:9">
      <c r="B53" s="20" t="s">
        <v>488</v>
      </c>
      <c r="C53" s="32" t="s">
        <v>489</v>
      </c>
      <c r="D53" s="25"/>
      <c r="E53" s="9" t="s">
        <v>490</v>
      </c>
      <c r="F53" s="24"/>
      <c r="G53" s="24"/>
      <c r="H53" s="24"/>
      <c r="I53" s="25"/>
    </row>
  </sheetData>
  <mergeCells count="80">
    <mergeCell ref="B6:I6"/>
    <mergeCell ref="B7:C7"/>
    <mergeCell ref="B9:I9"/>
    <mergeCell ref="B11:I11"/>
    <mergeCell ref="C12:F12"/>
    <mergeCell ref="G12:I12"/>
    <mergeCell ref="C13:F13"/>
    <mergeCell ref="G13:I13"/>
    <mergeCell ref="C14:F14"/>
    <mergeCell ref="G14:I14"/>
    <mergeCell ref="C15:F15"/>
    <mergeCell ref="G15:I15"/>
    <mergeCell ref="C16:F16"/>
    <mergeCell ref="G16:I16"/>
    <mergeCell ref="C17:F17"/>
    <mergeCell ref="G17:I17"/>
    <mergeCell ref="B19:I19"/>
    <mergeCell ref="C20:E20"/>
    <mergeCell ref="F20:G20"/>
    <mergeCell ref="H20:I20"/>
    <mergeCell ref="C21:E21"/>
    <mergeCell ref="F21:G21"/>
    <mergeCell ref="H21:I21"/>
    <mergeCell ref="C22:E22"/>
    <mergeCell ref="F22:G22"/>
    <mergeCell ref="H22:I22"/>
    <mergeCell ref="C23:E23"/>
    <mergeCell ref="F23:G23"/>
    <mergeCell ref="H23:I23"/>
    <mergeCell ref="C24:E24"/>
    <mergeCell ref="F24:G24"/>
    <mergeCell ref="H24:I24"/>
    <mergeCell ref="B26:I26"/>
    <mergeCell ref="C27:E27"/>
    <mergeCell ref="C28:E28"/>
    <mergeCell ref="H28:I28"/>
    <mergeCell ref="C29:E29"/>
    <mergeCell ref="H29:I29"/>
    <mergeCell ref="C30:E30"/>
    <mergeCell ref="H30:I30"/>
    <mergeCell ref="C31:E31"/>
    <mergeCell ref="H31:I31"/>
    <mergeCell ref="C32:E32"/>
    <mergeCell ref="H32:I32"/>
    <mergeCell ref="C33:E33"/>
    <mergeCell ref="H33:I33"/>
    <mergeCell ref="B35:I35"/>
    <mergeCell ref="C36:F36"/>
    <mergeCell ref="G36:I36"/>
    <mergeCell ref="C37:F37"/>
    <mergeCell ref="G37:I37"/>
    <mergeCell ref="C38:F38"/>
    <mergeCell ref="G38:I38"/>
    <mergeCell ref="C39:F39"/>
    <mergeCell ref="G39:I39"/>
    <mergeCell ref="C40:F40"/>
    <mergeCell ref="G40:I40"/>
    <mergeCell ref="C41:F41"/>
    <mergeCell ref="G41:I41"/>
    <mergeCell ref="C42:F42"/>
    <mergeCell ref="G42:I42"/>
    <mergeCell ref="C43:F43"/>
    <mergeCell ref="G43:I43"/>
    <mergeCell ref="C44:F44"/>
    <mergeCell ref="G44:I44"/>
    <mergeCell ref="C45:F45"/>
    <mergeCell ref="G45:I45"/>
    <mergeCell ref="C46:F46"/>
    <mergeCell ref="G46:I46"/>
    <mergeCell ref="B48:I48"/>
    <mergeCell ref="C49:D49"/>
    <mergeCell ref="E49:I49"/>
    <mergeCell ref="C50:D50"/>
    <mergeCell ref="E50:I50"/>
    <mergeCell ref="C51:D51"/>
    <mergeCell ref="E51:I51"/>
    <mergeCell ref="C52:D52"/>
    <mergeCell ref="E52:I52"/>
    <mergeCell ref="C53:D53"/>
    <mergeCell ref="E53:I5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54"/>
  <sheetViews>
    <sheetView showGridLines="0" workbookViewId="0">
      <selection activeCell="A1" sqref="A1"/>
    </sheetView>
  </sheetViews>
  <sheetFormatPr defaultColWidth="9" defaultRowHeight="14"/>
  <cols>
    <col min="1" max="1" width="2" customWidth="1"/>
    <col min="2" max="2" width="14" customWidth="1"/>
    <col min="3" max="5" width="22" customWidth="1"/>
    <col min="6" max="6" width="14" customWidth="1"/>
    <col min="7" max="9" width="18" customWidth="1"/>
  </cols>
  <sheetData>
    <row r="2" ht="32" customHeight="1" spans="2:9">
      <c r="B2" s="1" t="s">
        <v>41</v>
      </c>
    </row>
    <row r="3" spans="2:9">
      <c r="B3" s="2" t="s">
        <v>491</v>
      </c>
    </row>
    <row r="4" spans="2:9">
      <c r="B4" s="3" t="s">
        <v>72</v>
      </c>
      <c r="C4" s="4" t="s">
        <v>73</v>
      </c>
      <c r="D4" s="3" t="s">
        <v>74</v>
      </c>
      <c r="E4" s="4" t="s">
        <v>75</v>
      </c>
      <c r="F4" s="3" t="s">
        <v>76</v>
      </c>
      <c r="G4" s="4" t="s">
        <v>77</v>
      </c>
      <c r="H4" s="3" t="s">
        <v>78</v>
      </c>
      <c r="I4" s="4" t="s">
        <v>79</v>
      </c>
    </row>
    <row r="6" ht="24" customHeight="1" spans="2:9">
      <c r="B6" s="5" t="s">
        <v>176</v>
      </c>
      <c r="C6" s="24"/>
      <c r="D6" s="24"/>
      <c r="E6" s="24"/>
      <c r="F6" s="24"/>
      <c r="G6" s="24"/>
      <c r="H6" s="24"/>
      <c r="I6" s="25"/>
    </row>
    <row r="7" ht="17.5" spans="2:9">
      <c r="B7" s="8" t="s">
        <v>492</v>
      </c>
      <c r="C7" s="25"/>
      <c r="D7" s="44" t="s">
        <v>181</v>
      </c>
      <c r="F7" s="44" t="s">
        <v>181</v>
      </c>
      <c r="H7" s="44" t="s">
        <v>181</v>
      </c>
    </row>
    <row r="9" spans="2:9">
      <c r="B9" s="40" t="s">
        <v>493</v>
      </c>
    </row>
    <row r="11" ht="24" customHeight="1" spans="2:9">
      <c r="B11" s="5" t="s">
        <v>183</v>
      </c>
      <c r="C11" s="24"/>
      <c r="D11" s="24"/>
      <c r="E11" s="24"/>
      <c r="F11" s="24"/>
      <c r="G11" s="24"/>
      <c r="H11" s="24"/>
      <c r="I11" s="25"/>
    </row>
    <row r="12" ht="28" customHeight="1" spans="2:9">
      <c r="B12" s="6" t="s">
        <v>184</v>
      </c>
      <c r="C12" s="6" t="s">
        <v>185</v>
      </c>
      <c r="D12" s="24"/>
      <c r="E12" s="24"/>
      <c r="F12" s="25"/>
      <c r="G12" s="6" t="s">
        <v>324</v>
      </c>
      <c r="H12" s="24"/>
      <c r="I12" s="25"/>
    </row>
    <row r="13" ht="56" customHeight="1" spans="2:9">
      <c r="B13" s="3" t="s">
        <v>494</v>
      </c>
      <c r="C13" s="7" t="s">
        <v>495</v>
      </c>
      <c r="D13" s="24"/>
      <c r="E13" s="24"/>
      <c r="F13" s="25"/>
      <c r="G13" s="41" t="s">
        <v>496</v>
      </c>
      <c r="H13" s="24"/>
      <c r="I13" s="25"/>
    </row>
    <row r="14" ht="56" customHeight="1" spans="2:9">
      <c r="B14" s="20" t="s">
        <v>497</v>
      </c>
      <c r="C14" s="9" t="s">
        <v>498</v>
      </c>
      <c r="D14" s="24"/>
      <c r="E14" s="24"/>
      <c r="F14" s="25"/>
      <c r="G14" s="42" t="s">
        <v>499</v>
      </c>
      <c r="H14" s="24"/>
      <c r="I14" s="25"/>
    </row>
    <row r="15" ht="56" customHeight="1" spans="2:9">
      <c r="B15" s="3" t="s">
        <v>500</v>
      </c>
      <c r="C15" s="7" t="s">
        <v>501</v>
      </c>
      <c r="D15" s="24"/>
      <c r="E15" s="24"/>
      <c r="F15" s="25"/>
      <c r="G15" s="41" t="s">
        <v>502</v>
      </c>
      <c r="H15" s="24"/>
      <c r="I15" s="25"/>
    </row>
    <row r="16" ht="56" customHeight="1" spans="2:9">
      <c r="B16" s="20" t="s">
        <v>503</v>
      </c>
      <c r="C16" s="9" t="s">
        <v>504</v>
      </c>
      <c r="D16" s="24"/>
      <c r="E16" s="24"/>
      <c r="F16" s="25"/>
      <c r="G16" s="42" t="s">
        <v>505</v>
      </c>
      <c r="H16" s="24"/>
      <c r="I16" s="25"/>
    </row>
    <row r="17" ht="56" customHeight="1" spans="2:9">
      <c r="B17" s="3" t="s">
        <v>506</v>
      </c>
      <c r="C17" s="7" t="s">
        <v>507</v>
      </c>
      <c r="D17" s="24"/>
      <c r="E17" s="24"/>
      <c r="F17" s="25"/>
      <c r="G17" s="41" t="s">
        <v>508</v>
      </c>
      <c r="H17" s="24"/>
      <c r="I17" s="25"/>
    </row>
    <row r="19" ht="24" customHeight="1" spans="2:9">
      <c r="B19" s="5" t="s">
        <v>199</v>
      </c>
      <c r="C19" s="24"/>
      <c r="D19" s="24"/>
      <c r="E19" s="24"/>
      <c r="F19" s="24"/>
      <c r="G19" s="24"/>
      <c r="H19" s="24"/>
      <c r="I19" s="25"/>
    </row>
    <row r="20" ht="28" customHeight="1" spans="2:9">
      <c r="B20" s="6" t="s">
        <v>336</v>
      </c>
      <c r="C20" s="6" t="s">
        <v>201</v>
      </c>
      <c r="D20" s="24"/>
      <c r="E20" s="25"/>
      <c r="F20" s="6" t="s">
        <v>337</v>
      </c>
      <c r="G20" s="25"/>
      <c r="H20" s="6" t="s">
        <v>203</v>
      </c>
      <c r="I20" s="25"/>
    </row>
    <row r="21" ht="42" customHeight="1" spans="2:9">
      <c r="B21" s="3" t="s">
        <v>509</v>
      </c>
      <c r="C21" s="7" t="s">
        <v>510</v>
      </c>
      <c r="D21" s="24"/>
      <c r="E21" s="25"/>
      <c r="F21" s="7" t="s">
        <v>511</v>
      </c>
      <c r="G21" s="25"/>
      <c r="H21" s="7" t="s">
        <v>512</v>
      </c>
      <c r="I21" s="25"/>
    </row>
    <row r="22" ht="42" customHeight="1" spans="2:9">
      <c r="B22" s="20" t="s">
        <v>513</v>
      </c>
      <c r="C22" s="9" t="s">
        <v>514</v>
      </c>
      <c r="D22" s="24"/>
      <c r="E22" s="25"/>
      <c r="F22" s="9" t="s">
        <v>515</v>
      </c>
      <c r="G22" s="25"/>
      <c r="H22" s="9" t="s">
        <v>516</v>
      </c>
      <c r="I22" s="25"/>
    </row>
    <row r="23" ht="42" customHeight="1" spans="2:9">
      <c r="B23" s="3" t="s">
        <v>517</v>
      </c>
      <c r="C23" s="7" t="s">
        <v>518</v>
      </c>
      <c r="D23" s="24"/>
      <c r="E23" s="25"/>
      <c r="F23" s="7" t="s">
        <v>519</v>
      </c>
      <c r="G23" s="25"/>
      <c r="H23" s="7" t="s">
        <v>520</v>
      </c>
      <c r="I23" s="25"/>
    </row>
    <row r="24" ht="42" customHeight="1" spans="2:9">
      <c r="B24" s="20" t="s">
        <v>521</v>
      </c>
      <c r="C24" s="9" t="s">
        <v>522</v>
      </c>
      <c r="D24" s="24"/>
      <c r="E24" s="25"/>
      <c r="F24" s="9" t="s">
        <v>523</v>
      </c>
      <c r="G24" s="25"/>
      <c r="H24" s="9" t="s">
        <v>524</v>
      </c>
      <c r="I24" s="25"/>
    </row>
    <row r="26" ht="24" customHeight="1" spans="2:9">
      <c r="B26" s="5" t="s">
        <v>224</v>
      </c>
      <c r="C26" s="24"/>
      <c r="D26" s="24"/>
      <c r="E26" s="24"/>
      <c r="F26" s="24"/>
      <c r="G26" s="24"/>
      <c r="H26" s="24"/>
      <c r="I26" s="25"/>
    </row>
    <row r="27" ht="28" customHeight="1" spans="2:9">
      <c r="B27" s="6" t="s">
        <v>225</v>
      </c>
      <c r="C27" s="6" t="s">
        <v>226</v>
      </c>
      <c r="D27" s="24"/>
      <c r="E27" s="25"/>
      <c r="F27" s="6" t="s">
        <v>227</v>
      </c>
      <c r="G27" s="6" t="s">
        <v>228</v>
      </c>
      <c r="H27" s="6" t="s">
        <v>354</v>
      </c>
      <c r="I27" s="6"/>
    </row>
    <row r="28" ht="36" customHeight="1" spans="2:9">
      <c r="B28" s="3" t="s">
        <v>525</v>
      </c>
      <c r="C28" s="7" t="s">
        <v>526</v>
      </c>
      <c r="D28" s="24"/>
      <c r="E28" s="25"/>
      <c r="F28" s="7" t="s">
        <v>527</v>
      </c>
      <c r="G28" s="8" t="s">
        <v>233</v>
      </c>
      <c r="H28" s="41" t="s">
        <v>528</v>
      </c>
      <c r="I28" s="25"/>
    </row>
    <row r="29" ht="36" customHeight="1" spans="2:9">
      <c r="B29" s="20" t="s">
        <v>529</v>
      </c>
      <c r="C29" s="9" t="s">
        <v>530</v>
      </c>
      <c r="D29" s="24"/>
      <c r="E29" s="25"/>
      <c r="F29" s="9" t="s">
        <v>364</v>
      </c>
      <c r="G29" s="20" t="s">
        <v>238</v>
      </c>
      <c r="H29" s="42" t="s">
        <v>531</v>
      </c>
      <c r="I29" s="25"/>
    </row>
    <row r="30" ht="36" customHeight="1" spans="2:9">
      <c r="B30" s="3" t="s">
        <v>532</v>
      </c>
      <c r="C30" s="7" t="s">
        <v>533</v>
      </c>
      <c r="D30" s="24"/>
      <c r="E30" s="25"/>
      <c r="F30" s="7" t="s">
        <v>453</v>
      </c>
      <c r="G30" s="8" t="s">
        <v>233</v>
      </c>
      <c r="H30" s="41" t="s">
        <v>534</v>
      </c>
      <c r="I30" s="25"/>
    </row>
    <row r="31" ht="36" customHeight="1" spans="2:9">
      <c r="B31" s="20" t="s">
        <v>535</v>
      </c>
      <c r="C31" s="9" t="s">
        <v>536</v>
      </c>
      <c r="D31" s="24"/>
      <c r="E31" s="25"/>
      <c r="F31" s="9" t="s">
        <v>462</v>
      </c>
      <c r="G31" s="20" t="s">
        <v>233</v>
      </c>
      <c r="H31" s="42" t="s">
        <v>537</v>
      </c>
      <c r="I31" s="25"/>
    </row>
    <row r="32" ht="36" customHeight="1" spans="2:9">
      <c r="B32" s="3" t="s">
        <v>538</v>
      </c>
      <c r="C32" s="7" t="s">
        <v>539</v>
      </c>
      <c r="D32" s="24"/>
      <c r="E32" s="25"/>
      <c r="F32" s="7" t="s">
        <v>540</v>
      </c>
      <c r="G32" s="8" t="s">
        <v>238</v>
      </c>
      <c r="H32" s="41" t="s">
        <v>541</v>
      </c>
      <c r="I32" s="25"/>
    </row>
    <row r="33" ht="36" customHeight="1" spans="2:9">
      <c r="B33" s="20" t="s">
        <v>358</v>
      </c>
      <c r="C33" s="9" t="s">
        <v>448</v>
      </c>
      <c r="D33" s="24"/>
      <c r="E33" s="25"/>
      <c r="F33" s="9" t="s">
        <v>449</v>
      </c>
      <c r="G33" s="20" t="s">
        <v>238</v>
      </c>
      <c r="H33" s="42" t="s">
        <v>542</v>
      </c>
      <c r="I33" s="25"/>
    </row>
    <row r="35" ht="24" customHeight="1" spans="2:9">
      <c r="B35" s="5" t="s">
        <v>464</v>
      </c>
      <c r="C35" s="24"/>
      <c r="D35" s="24"/>
      <c r="E35" s="24"/>
      <c r="F35" s="24"/>
      <c r="G35" s="24"/>
      <c r="H35" s="24"/>
      <c r="I35" s="25"/>
    </row>
    <row r="36" ht="28" customHeight="1" spans="2:9">
      <c r="B36" s="6" t="s">
        <v>290</v>
      </c>
      <c r="C36" s="6" t="s">
        <v>465</v>
      </c>
      <c r="D36" s="24"/>
      <c r="E36" s="24"/>
      <c r="F36" s="25"/>
      <c r="G36" s="6" t="s">
        <v>292</v>
      </c>
      <c r="H36" s="24"/>
      <c r="I36" s="25"/>
    </row>
    <row r="37" ht="24" customHeight="1" spans="2:9">
      <c r="B37" s="3" t="s">
        <v>293</v>
      </c>
      <c r="C37" s="7" t="s">
        <v>543</v>
      </c>
      <c r="D37" s="24"/>
      <c r="E37" s="24"/>
      <c r="F37" s="25"/>
      <c r="G37" s="8" t="s">
        <v>295</v>
      </c>
      <c r="H37" s="24"/>
      <c r="I37" s="25"/>
    </row>
    <row r="38" ht="24" customHeight="1" spans="2:9">
      <c r="B38" s="20" t="s">
        <v>296</v>
      </c>
      <c r="C38" s="9" t="s">
        <v>544</v>
      </c>
      <c r="D38" s="24"/>
      <c r="E38" s="24"/>
      <c r="F38" s="25"/>
      <c r="G38" s="20" t="s">
        <v>295</v>
      </c>
      <c r="H38" s="24"/>
      <c r="I38" s="25"/>
    </row>
    <row r="39" ht="24" customHeight="1" spans="2:9">
      <c r="B39" s="3" t="s">
        <v>300</v>
      </c>
      <c r="C39" s="7" t="s">
        <v>545</v>
      </c>
      <c r="D39" s="24"/>
      <c r="E39" s="24"/>
      <c r="F39" s="25"/>
      <c r="G39" s="8" t="s">
        <v>295</v>
      </c>
      <c r="H39" s="24"/>
      <c r="I39" s="25"/>
    </row>
    <row r="40" ht="24" customHeight="1" spans="2:9">
      <c r="B40" s="20" t="s">
        <v>298</v>
      </c>
      <c r="C40" s="9" t="s">
        <v>546</v>
      </c>
      <c r="D40" s="24"/>
      <c r="E40" s="24"/>
      <c r="F40" s="25"/>
      <c r="G40" s="20" t="s">
        <v>307</v>
      </c>
      <c r="H40" s="24"/>
      <c r="I40" s="25"/>
    </row>
    <row r="41" ht="24" customHeight="1" spans="2:9">
      <c r="B41" s="3" t="s">
        <v>305</v>
      </c>
      <c r="C41" s="7" t="s">
        <v>547</v>
      </c>
      <c r="D41" s="24"/>
      <c r="E41" s="24"/>
      <c r="F41" s="25"/>
      <c r="G41" s="8" t="s">
        <v>307</v>
      </c>
      <c r="H41" s="24"/>
      <c r="I41" s="25"/>
    </row>
    <row r="42" ht="24" customHeight="1" spans="2:9">
      <c r="B42" s="20" t="s">
        <v>302</v>
      </c>
      <c r="C42" s="9" t="s">
        <v>548</v>
      </c>
      <c r="D42" s="24"/>
      <c r="E42" s="24"/>
      <c r="F42" s="25"/>
      <c r="G42" s="20" t="s">
        <v>304</v>
      </c>
      <c r="H42" s="24"/>
      <c r="I42" s="25"/>
    </row>
    <row r="43" ht="24" customHeight="1" spans="2:9">
      <c r="B43" s="3" t="s">
        <v>313</v>
      </c>
      <c r="C43" s="7" t="s">
        <v>549</v>
      </c>
      <c r="D43" s="24"/>
      <c r="E43" s="24"/>
      <c r="F43" s="25"/>
      <c r="G43" s="8" t="s">
        <v>307</v>
      </c>
      <c r="H43" s="24"/>
      <c r="I43" s="25"/>
    </row>
    <row r="44" ht="24" customHeight="1" spans="2:9">
      <c r="B44" s="20" t="s">
        <v>311</v>
      </c>
      <c r="C44" s="9" t="s">
        <v>550</v>
      </c>
      <c r="D44" s="24"/>
      <c r="E44" s="24"/>
      <c r="F44" s="25"/>
      <c r="G44" s="20" t="s">
        <v>307</v>
      </c>
      <c r="H44" s="24"/>
      <c r="I44" s="25"/>
    </row>
    <row r="45" ht="24" customHeight="1" spans="2:9">
      <c r="B45" s="3" t="s">
        <v>308</v>
      </c>
      <c r="C45" s="7" t="s">
        <v>474</v>
      </c>
      <c r="D45" s="24"/>
      <c r="E45" s="24"/>
      <c r="F45" s="25"/>
      <c r="G45" s="8" t="s">
        <v>474</v>
      </c>
      <c r="H45" s="24"/>
      <c r="I45" s="25"/>
    </row>
    <row r="46" ht="24" customHeight="1" spans="2:9">
      <c r="B46" s="20" t="s">
        <v>315</v>
      </c>
      <c r="C46" s="9" t="s">
        <v>551</v>
      </c>
      <c r="D46" s="24"/>
      <c r="E46" s="24"/>
      <c r="F46" s="25"/>
      <c r="G46" s="20" t="s">
        <v>307</v>
      </c>
      <c r="H46" s="24"/>
      <c r="I46" s="25"/>
    </row>
    <row r="48" ht="24" customHeight="1" spans="2:9">
      <c r="B48" s="5" t="s">
        <v>552</v>
      </c>
      <c r="C48" s="24"/>
      <c r="D48" s="24"/>
      <c r="E48" s="24"/>
      <c r="F48" s="24"/>
      <c r="G48" s="24"/>
      <c r="H48" s="24"/>
      <c r="I48" s="25"/>
    </row>
    <row r="49" ht="28" customHeight="1" spans="2:9">
      <c r="B49" s="6" t="s">
        <v>553</v>
      </c>
      <c r="C49" s="6" t="s">
        <v>554</v>
      </c>
      <c r="D49" s="6" t="s">
        <v>555</v>
      </c>
      <c r="E49" s="6" t="s">
        <v>556</v>
      </c>
      <c r="F49" s="6" t="s">
        <v>557</v>
      </c>
      <c r="G49" s="6" t="s">
        <v>558</v>
      </c>
      <c r="H49" s="24"/>
      <c r="I49" s="25"/>
    </row>
    <row r="50" ht="22" customHeight="1" spans="2:9">
      <c r="B50" s="35">
        <v>1</v>
      </c>
      <c r="C50" s="35">
        <v>0.6</v>
      </c>
      <c r="D50" s="4" t="s">
        <v>559</v>
      </c>
      <c r="E50" s="4" t="s">
        <v>560</v>
      </c>
      <c r="F50" s="4" t="s">
        <v>561</v>
      </c>
      <c r="G50" s="8" t="s">
        <v>562</v>
      </c>
      <c r="H50" s="24"/>
      <c r="I50" s="25"/>
    </row>
    <row r="51" ht="22" customHeight="1" spans="2:9">
      <c r="B51" s="36">
        <v>3</v>
      </c>
      <c r="C51" s="36">
        <v>1.8</v>
      </c>
      <c r="D51" s="32" t="s">
        <v>563</v>
      </c>
      <c r="E51" s="32" t="s">
        <v>564</v>
      </c>
      <c r="F51" s="32" t="s">
        <v>561</v>
      </c>
      <c r="G51" s="20" t="s">
        <v>565</v>
      </c>
      <c r="H51" s="24"/>
      <c r="I51" s="25"/>
    </row>
    <row r="52" ht="22" customHeight="1" spans="2:9">
      <c r="B52" s="35">
        <v>5</v>
      </c>
      <c r="C52" s="35">
        <v>3</v>
      </c>
      <c r="D52" s="4" t="s">
        <v>566</v>
      </c>
      <c r="E52" s="4" t="s">
        <v>567</v>
      </c>
      <c r="F52" s="4" t="s">
        <v>568</v>
      </c>
      <c r="G52" s="8" t="s">
        <v>569</v>
      </c>
      <c r="H52" s="24"/>
      <c r="I52" s="25"/>
    </row>
    <row r="53" ht="22" customHeight="1" spans="2:9">
      <c r="B53" s="36">
        <v>8</v>
      </c>
      <c r="C53" s="36">
        <v>4.8</v>
      </c>
      <c r="D53" s="32" t="s">
        <v>570</v>
      </c>
      <c r="E53" s="32" t="s">
        <v>571</v>
      </c>
      <c r="F53" s="32" t="s">
        <v>568</v>
      </c>
      <c r="G53" s="20" t="s">
        <v>572</v>
      </c>
      <c r="H53" s="24"/>
      <c r="I53" s="25"/>
    </row>
    <row r="54" ht="22" customHeight="1" spans="2:9">
      <c r="B54" s="35">
        <v>12</v>
      </c>
      <c r="C54" s="35">
        <v>7.2</v>
      </c>
      <c r="D54" s="4" t="s">
        <v>573</v>
      </c>
      <c r="E54" s="4" t="s">
        <v>574</v>
      </c>
      <c r="F54" s="4" t="s">
        <v>575</v>
      </c>
      <c r="G54" s="8" t="s">
        <v>576</v>
      </c>
      <c r="H54" s="24"/>
      <c r="I54" s="25"/>
    </row>
  </sheetData>
  <mergeCells count="76">
    <mergeCell ref="B6:I6"/>
    <mergeCell ref="B7:C7"/>
    <mergeCell ref="B9:I9"/>
    <mergeCell ref="B11:I11"/>
    <mergeCell ref="C12:F12"/>
    <mergeCell ref="G12:I12"/>
    <mergeCell ref="C13:F13"/>
    <mergeCell ref="G13:I13"/>
    <mergeCell ref="C14:F14"/>
    <mergeCell ref="G14:I14"/>
    <mergeCell ref="C15:F15"/>
    <mergeCell ref="G15:I15"/>
    <mergeCell ref="C16:F16"/>
    <mergeCell ref="G16:I16"/>
    <mergeCell ref="C17:F17"/>
    <mergeCell ref="G17:I17"/>
    <mergeCell ref="B19:I19"/>
    <mergeCell ref="C20:E20"/>
    <mergeCell ref="F20:G20"/>
    <mergeCell ref="H20:I20"/>
    <mergeCell ref="C21:E21"/>
    <mergeCell ref="F21:G21"/>
    <mergeCell ref="H21:I21"/>
    <mergeCell ref="C22:E22"/>
    <mergeCell ref="F22:G22"/>
    <mergeCell ref="H22:I22"/>
    <mergeCell ref="C23:E23"/>
    <mergeCell ref="F23:G23"/>
    <mergeCell ref="H23:I23"/>
    <mergeCell ref="C24:E24"/>
    <mergeCell ref="F24:G24"/>
    <mergeCell ref="H24:I24"/>
    <mergeCell ref="B26:I26"/>
    <mergeCell ref="C27:E27"/>
    <mergeCell ref="C28:E28"/>
    <mergeCell ref="H28:I28"/>
    <mergeCell ref="C29:E29"/>
    <mergeCell ref="H29:I29"/>
    <mergeCell ref="C30:E30"/>
    <mergeCell ref="H30:I30"/>
    <mergeCell ref="C31:E31"/>
    <mergeCell ref="H31:I31"/>
    <mergeCell ref="C32:E32"/>
    <mergeCell ref="H32:I32"/>
    <mergeCell ref="C33:E33"/>
    <mergeCell ref="H33:I33"/>
    <mergeCell ref="B35:I35"/>
    <mergeCell ref="C36:F36"/>
    <mergeCell ref="G36:I36"/>
    <mergeCell ref="C37:F37"/>
    <mergeCell ref="G37:I37"/>
    <mergeCell ref="C38:F38"/>
    <mergeCell ref="G38:I38"/>
    <mergeCell ref="C39:F39"/>
    <mergeCell ref="G39:I39"/>
    <mergeCell ref="C40:F40"/>
    <mergeCell ref="G40:I40"/>
    <mergeCell ref="C41:F41"/>
    <mergeCell ref="G41:I41"/>
    <mergeCell ref="C42:F42"/>
    <mergeCell ref="G42:I42"/>
    <mergeCell ref="C43:F43"/>
    <mergeCell ref="G43:I43"/>
    <mergeCell ref="C44:F44"/>
    <mergeCell ref="G44:I44"/>
    <mergeCell ref="C45:F45"/>
    <mergeCell ref="G45:I45"/>
    <mergeCell ref="C46:F46"/>
    <mergeCell ref="G46:I46"/>
    <mergeCell ref="B48:I48"/>
    <mergeCell ref="G49:I49"/>
    <mergeCell ref="G50:I50"/>
    <mergeCell ref="G51:I51"/>
    <mergeCell ref="G52:I52"/>
    <mergeCell ref="G53:I53"/>
    <mergeCell ref="G54:I5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61"/>
  <sheetViews>
    <sheetView showGridLines="0" workbookViewId="0">
      <selection activeCell="A1" sqref="A1"/>
    </sheetView>
  </sheetViews>
  <sheetFormatPr defaultColWidth="9" defaultRowHeight="14"/>
  <cols>
    <col min="1" max="1" width="2" customWidth="1"/>
    <col min="2" max="2" width="18" customWidth="1"/>
    <col min="3" max="9" width="16" customWidth="1"/>
  </cols>
  <sheetData>
    <row r="2" ht="32" customHeight="1" spans="2:9">
      <c r="B2" s="1" t="s">
        <v>44</v>
      </c>
    </row>
    <row r="3" spans="2:9">
      <c r="B3" s="2" t="s">
        <v>577</v>
      </c>
    </row>
    <row r="4" spans="2:9">
      <c r="B4" s="3" t="s">
        <v>72</v>
      </c>
      <c r="C4" s="4" t="s">
        <v>73</v>
      </c>
      <c r="D4" s="3" t="s">
        <v>74</v>
      </c>
      <c r="E4" s="4" t="s">
        <v>75</v>
      </c>
      <c r="F4" s="3" t="s">
        <v>76</v>
      </c>
      <c r="G4" s="4" t="s">
        <v>77</v>
      </c>
      <c r="H4" s="3" t="s">
        <v>78</v>
      </c>
      <c r="I4" s="4" t="s">
        <v>79</v>
      </c>
    </row>
    <row r="6" ht="24" customHeight="1" spans="2:9">
      <c r="B6" s="5" t="s">
        <v>176</v>
      </c>
      <c r="C6" s="24"/>
      <c r="D6" s="24"/>
      <c r="E6" s="24"/>
      <c r="F6" s="24"/>
      <c r="G6" s="24"/>
      <c r="H6" s="24"/>
      <c r="I6" s="25"/>
    </row>
    <row r="7" ht="17.5" spans="2:9">
      <c r="B7" s="8" t="s">
        <v>578</v>
      </c>
      <c r="C7" s="25"/>
      <c r="D7" s="44" t="s">
        <v>181</v>
      </c>
      <c r="F7" s="44" t="s">
        <v>181</v>
      </c>
      <c r="H7" s="44" t="s">
        <v>181</v>
      </c>
    </row>
    <row r="9" spans="2:9">
      <c r="B9" s="40" t="s">
        <v>579</v>
      </c>
    </row>
    <row r="11" ht="24" customHeight="1" spans="2:9">
      <c r="B11" s="5" t="s">
        <v>183</v>
      </c>
      <c r="C11" s="24"/>
      <c r="D11" s="24"/>
      <c r="E11" s="24"/>
      <c r="F11" s="24"/>
      <c r="G11" s="24"/>
      <c r="H11" s="24"/>
      <c r="I11" s="25"/>
    </row>
    <row r="12" ht="28" customHeight="1" spans="2:9">
      <c r="B12" s="6" t="s">
        <v>184</v>
      </c>
      <c r="C12" s="6" t="s">
        <v>185</v>
      </c>
      <c r="D12" s="24"/>
      <c r="E12" s="24"/>
      <c r="F12" s="25"/>
      <c r="G12" s="6" t="s">
        <v>324</v>
      </c>
      <c r="H12" s="24"/>
      <c r="I12" s="25"/>
    </row>
    <row r="13" ht="56" customHeight="1" spans="2:9">
      <c r="B13" s="3" t="s">
        <v>580</v>
      </c>
      <c r="C13" s="7" t="s">
        <v>581</v>
      </c>
      <c r="D13" s="24"/>
      <c r="E13" s="24"/>
      <c r="F13" s="25"/>
      <c r="G13" s="41" t="s">
        <v>582</v>
      </c>
      <c r="H13" s="24"/>
      <c r="I13" s="25"/>
    </row>
    <row r="14" ht="56" customHeight="1" spans="2:9">
      <c r="B14" s="20" t="s">
        <v>583</v>
      </c>
      <c r="C14" s="9" t="s">
        <v>584</v>
      </c>
      <c r="D14" s="24"/>
      <c r="E14" s="24"/>
      <c r="F14" s="25"/>
      <c r="G14" s="42" t="s">
        <v>585</v>
      </c>
      <c r="H14" s="24"/>
      <c r="I14" s="25"/>
    </row>
    <row r="15" ht="56" customHeight="1" spans="2:9">
      <c r="B15" s="3" t="s">
        <v>586</v>
      </c>
      <c r="C15" s="7" t="s">
        <v>587</v>
      </c>
      <c r="D15" s="24"/>
      <c r="E15" s="24"/>
      <c r="F15" s="25"/>
      <c r="G15" s="41" t="s">
        <v>588</v>
      </c>
      <c r="H15" s="24"/>
      <c r="I15" s="25"/>
    </row>
    <row r="16" ht="56" customHeight="1" spans="2:9">
      <c r="B16" s="20" t="s">
        <v>589</v>
      </c>
      <c r="C16" s="9" t="s">
        <v>590</v>
      </c>
      <c r="D16" s="24"/>
      <c r="E16" s="24"/>
      <c r="F16" s="25"/>
      <c r="G16" s="42" t="s">
        <v>591</v>
      </c>
      <c r="H16" s="24"/>
      <c r="I16" s="25"/>
    </row>
    <row r="17" ht="56" customHeight="1" spans="2:9">
      <c r="B17" s="3" t="s">
        <v>592</v>
      </c>
      <c r="C17" s="7" t="s">
        <v>593</v>
      </c>
      <c r="D17" s="24"/>
      <c r="E17" s="24"/>
      <c r="F17" s="25"/>
      <c r="G17" s="41" t="s">
        <v>594</v>
      </c>
      <c r="H17" s="24"/>
      <c r="I17" s="25"/>
    </row>
    <row r="19" ht="24" customHeight="1" spans="2:9">
      <c r="B19" s="5" t="s">
        <v>199</v>
      </c>
      <c r="C19" s="24"/>
      <c r="D19" s="24"/>
      <c r="E19" s="24"/>
      <c r="F19" s="24"/>
      <c r="G19" s="24"/>
      <c r="H19" s="24"/>
      <c r="I19" s="25"/>
    </row>
    <row r="20" ht="28" customHeight="1" spans="2:9">
      <c r="B20" s="6" t="s">
        <v>336</v>
      </c>
      <c r="C20" s="6" t="s">
        <v>201</v>
      </c>
      <c r="D20" s="24"/>
      <c r="E20" s="25"/>
      <c r="F20" s="6" t="s">
        <v>337</v>
      </c>
      <c r="G20" s="25"/>
      <c r="H20" s="6" t="s">
        <v>203</v>
      </c>
      <c r="I20" s="25"/>
    </row>
    <row r="21" ht="42" customHeight="1" spans="2:9">
      <c r="B21" s="3" t="s">
        <v>595</v>
      </c>
      <c r="C21" s="7" t="s">
        <v>596</v>
      </c>
      <c r="D21" s="24"/>
      <c r="E21" s="25"/>
      <c r="F21" s="7" t="s">
        <v>597</v>
      </c>
      <c r="G21" s="25"/>
      <c r="H21" s="7" t="s">
        <v>598</v>
      </c>
      <c r="I21" s="25"/>
    </row>
    <row r="22" ht="42" customHeight="1" spans="2:9">
      <c r="B22" s="20" t="s">
        <v>599</v>
      </c>
      <c r="C22" s="9" t="s">
        <v>600</v>
      </c>
      <c r="D22" s="24"/>
      <c r="E22" s="25"/>
      <c r="F22" s="9" t="s">
        <v>601</v>
      </c>
      <c r="G22" s="25"/>
      <c r="H22" s="9" t="s">
        <v>602</v>
      </c>
      <c r="I22" s="25"/>
    </row>
    <row r="23" ht="42" customHeight="1" spans="2:9">
      <c r="B23" s="3" t="s">
        <v>603</v>
      </c>
      <c r="C23" s="7" t="s">
        <v>604</v>
      </c>
      <c r="D23" s="24"/>
      <c r="E23" s="25"/>
      <c r="F23" s="7" t="s">
        <v>605</v>
      </c>
      <c r="G23" s="25"/>
      <c r="H23" s="7" t="s">
        <v>606</v>
      </c>
      <c r="I23" s="25"/>
    </row>
    <row r="24" ht="42" customHeight="1" spans="2:9">
      <c r="B24" s="20" t="s">
        <v>607</v>
      </c>
      <c r="C24" s="9" t="s">
        <v>608</v>
      </c>
      <c r="D24" s="24"/>
      <c r="E24" s="25"/>
      <c r="F24" s="9" t="s">
        <v>609</v>
      </c>
      <c r="G24" s="25"/>
      <c r="H24" s="9" t="s">
        <v>610</v>
      </c>
      <c r="I24" s="25"/>
    </row>
    <row r="26" ht="24" customHeight="1" spans="2:9">
      <c r="B26" s="5" t="s">
        <v>224</v>
      </c>
      <c r="C26" s="24"/>
      <c r="D26" s="24"/>
      <c r="E26" s="24"/>
      <c r="F26" s="24"/>
      <c r="G26" s="24"/>
      <c r="H26" s="24"/>
      <c r="I26" s="25"/>
    </row>
    <row r="27" ht="28" customHeight="1" spans="2:9">
      <c r="B27" s="6" t="s">
        <v>225</v>
      </c>
      <c r="C27" s="6" t="s">
        <v>226</v>
      </c>
      <c r="D27" s="24"/>
      <c r="E27" s="25"/>
      <c r="F27" s="6" t="s">
        <v>227</v>
      </c>
      <c r="G27" s="6" t="s">
        <v>228</v>
      </c>
      <c r="H27" s="6" t="s">
        <v>354</v>
      </c>
      <c r="I27" s="6"/>
    </row>
    <row r="28" ht="36" customHeight="1" spans="2:9">
      <c r="B28" s="3" t="s">
        <v>358</v>
      </c>
      <c r="C28" s="7" t="s">
        <v>448</v>
      </c>
      <c r="D28" s="24"/>
      <c r="E28" s="25"/>
      <c r="F28" s="7" t="s">
        <v>449</v>
      </c>
      <c r="G28" s="8" t="s">
        <v>238</v>
      </c>
      <c r="H28" s="41" t="s">
        <v>611</v>
      </c>
      <c r="I28" s="25"/>
    </row>
    <row r="29" ht="36" customHeight="1" spans="2:9">
      <c r="B29" s="20" t="s">
        <v>529</v>
      </c>
      <c r="C29" s="9" t="s">
        <v>612</v>
      </c>
      <c r="D29" s="24"/>
      <c r="E29" s="25"/>
      <c r="F29" s="9" t="s">
        <v>364</v>
      </c>
      <c r="G29" s="20" t="s">
        <v>238</v>
      </c>
      <c r="H29" s="42" t="s">
        <v>613</v>
      </c>
      <c r="I29" s="25"/>
    </row>
    <row r="30" ht="36" customHeight="1" spans="2:9">
      <c r="B30" s="3" t="s">
        <v>614</v>
      </c>
      <c r="C30" s="7" t="s">
        <v>615</v>
      </c>
      <c r="D30" s="24"/>
      <c r="E30" s="25"/>
      <c r="F30" s="7" t="s">
        <v>453</v>
      </c>
      <c r="G30" s="8" t="s">
        <v>233</v>
      </c>
      <c r="H30" s="41" t="s">
        <v>616</v>
      </c>
      <c r="I30" s="25"/>
    </row>
    <row r="31" ht="36" customHeight="1" spans="2:9">
      <c r="B31" s="20" t="s">
        <v>617</v>
      </c>
      <c r="C31" s="9" t="s">
        <v>618</v>
      </c>
      <c r="D31" s="24"/>
      <c r="E31" s="25"/>
      <c r="F31" s="9" t="s">
        <v>619</v>
      </c>
      <c r="G31" s="20" t="s">
        <v>238</v>
      </c>
      <c r="H31" s="42" t="s">
        <v>620</v>
      </c>
      <c r="I31" s="25"/>
    </row>
    <row r="32" ht="36" customHeight="1" spans="2:9">
      <c r="B32" s="3" t="s">
        <v>621</v>
      </c>
      <c r="C32" s="7" t="s">
        <v>622</v>
      </c>
      <c r="D32" s="24"/>
      <c r="E32" s="25"/>
      <c r="F32" s="7" t="s">
        <v>623</v>
      </c>
      <c r="G32" s="8" t="s">
        <v>624</v>
      </c>
      <c r="H32" s="41" t="s">
        <v>625</v>
      </c>
      <c r="I32" s="25"/>
    </row>
    <row r="33" ht="36" customHeight="1" spans="2:9">
      <c r="B33" s="20" t="s">
        <v>626</v>
      </c>
      <c r="C33" s="9" t="s">
        <v>627</v>
      </c>
      <c r="D33" s="24"/>
      <c r="E33" s="25"/>
      <c r="F33" s="9" t="s">
        <v>628</v>
      </c>
      <c r="G33" s="20" t="s">
        <v>238</v>
      </c>
      <c r="H33" s="42" t="s">
        <v>629</v>
      </c>
      <c r="I33" s="25"/>
    </row>
    <row r="34" ht="36" customHeight="1" spans="2:9">
      <c r="B34" s="3" t="s">
        <v>630</v>
      </c>
      <c r="C34" s="7" t="s">
        <v>631</v>
      </c>
      <c r="D34" s="24"/>
      <c r="E34" s="25"/>
      <c r="F34" s="7" t="s">
        <v>632</v>
      </c>
      <c r="G34" s="8" t="s">
        <v>233</v>
      </c>
      <c r="H34" s="41" t="s">
        <v>633</v>
      </c>
      <c r="I34" s="25"/>
    </row>
    <row r="36" ht="24" customHeight="1" spans="2:9">
      <c r="B36" s="5" t="s">
        <v>634</v>
      </c>
      <c r="C36" s="24"/>
      <c r="D36" s="24"/>
      <c r="E36" s="24"/>
      <c r="F36" s="24"/>
      <c r="G36" s="24"/>
      <c r="H36" s="24"/>
      <c r="I36" s="25"/>
    </row>
    <row r="37" ht="28" customHeight="1" spans="2:9">
      <c r="B37" s="6" t="s">
        <v>269</v>
      </c>
      <c r="C37" s="6" t="s">
        <v>270</v>
      </c>
      <c r="D37" s="24"/>
      <c r="E37" s="25"/>
      <c r="F37" s="6" t="s">
        <v>271</v>
      </c>
      <c r="G37" s="6" t="s">
        <v>272</v>
      </c>
      <c r="H37" s="24"/>
      <c r="I37" s="25"/>
    </row>
    <row r="38" ht="32" customHeight="1" spans="2:9">
      <c r="B38" s="8" t="s">
        <v>635</v>
      </c>
      <c r="C38" s="7" t="s">
        <v>636</v>
      </c>
      <c r="D38" s="24"/>
      <c r="E38" s="25"/>
      <c r="F38" s="43" t="s">
        <v>637</v>
      </c>
      <c r="G38" s="7" t="s">
        <v>638</v>
      </c>
      <c r="H38" s="24"/>
      <c r="I38" s="25"/>
    </row>
    <row r="39" ht="32" customHeight="1" spans="2:9">
      <c r="B39" s="20" t="s">
        <v>639</v>
      </c>
      <c r="C39" s="9" t="s">
        <v>640</v>
      </c>
      <c r="D39" s="24"/>
      <c r="E39" s="25"/>
      <c r="F39" s="20" t="s">
        <v>641</v>
      </c>
      <c r="G39" s="9" t="s">
        <v>642</v>
      </c>
      <c r="H39" s="24"/>
      <c r="I39" s="25"/>
    </row>
    <row r="40" ht="32" customHeight="1" spans="2:9">
      <c r="B40" s="8" t="s">
        <v>643</v>
      </c>
      <c r="C40" s="7" t="s">
        <v>644</v>
      </c>
      <c r="D40" s="24"/>
      <c r="E40" s="25"/>
      <c r="F40" s="43" t="s">
        <v>645</v>
      </c>
      <c r="G40" s="7" t="s">
        <v>646</v>
      </c>
      <c r="H40" s="24"/>
      <c r="I40" s="25"/>
    </row>
    <row r="41" ht="32" customHeight="1" spans="2:9">
      <c r="B41" s="20" t="s">
        <v>647</v>
      </c>
      <c r="C41" s="9" t="s">
        <v>648</v>
      </c>
      <c r="D41" s="24"/>
      <c r="E41" s="25"/>
      <c r="F41" s="20" t="s">
        <v>649</v>
      </c>
      <c r="G41" s="9" t="s">
        <v>650</v>
      </c>
      <c r="H41" s="24"/>
      <c r="I41" s="25"/>
    </row>
    <row r="43" ht="24" customHeight="1" spans="2:9">
      <c r="B43" s="5" t="s">
        <v>289</v>
      </c>
      <c r="C43" s="24"/>
      <c r="D43" s="24"/>
      <c r="E43" s="24"/>
      <c r="F43" s="24"/>
      <c r="G43" s="24"/>
      <c r="H43" s="24"/>
      <c r="I43" s="25"/>
    </row>
    <row r="44" ht="28" customHeight="1" spans="2:9">
      <c r="B44" s="6" t="s">
        <v>290</v>
      </c>
      <c r="C44" s="6" t="s">
        <v>465</v>
      </c>
      <c r="D44" s="24"/>
      <c r="E44" s="24"/>
      <c r="F44" s="25"/>
      <c r="G44" s="6" t="s">
        <v>292</v>
      </c>
      <c r="H44" s="24"/>
      <c r="I44" s="25"/>
    </row>
    <row r="45" ht="24" customHeight="1" spans="2:9">
      <c r="B45" s="3" t="s">
        <v>293</v>
      </c>
      <c r="C45" s="7" t="s">
        <v>651</v>
      </c>
      <c r="D45" s="24"/>
      <c r="E45" s="24"/>
      <c r="F45" s="25"/>
      <c r="G45" s="8" t="s">
        <v>307</v>
      </c>
      <c r="H45" s="24"/>
      <c r="I45" s="25"/>
    </row>
    <row r="46" ht="24" customHeight="1" spans="2:9">
      <c r="B46" s="20" t="s">
        <v>296</v>
      </c>
      <c r="C46" s="9" t="s">
        <v>652</v>
      </c>
      <c r="D46" s="24"/>
      <c r="E46" s="24"/>
      <c r="F46" s="25"/>
      <c r="G46" s="20" t="s">
        <v>295</v>
      </c>
      <c r="H46" s="24"/>
      <c r="I46" s="25"/>
    </row>
    <row r="47" ht="24" customHeight="1" spans="2:9">
      <c r="B47" s="3" t="s">
        <v>300</v>
      </c>
      <c r="C47" s="7" t="s">
        <v>653</v>
      </c>
      <c r="D47" s="24"/>
      <c r="E47" s="24"/>
      <c r="F47" s="25"/>
      <c r="G47" s="8" t="s">
        <v>295</v>
      </c>
      <c r="H47" s="24"/>
      <c r="I47" s="25"/>
    </row>
    <row r="48" ht="24" customHeight="1" spans="2:9">
      <c r="B48" s="20" t="s">
        <v>654</v>
      </c>
      <c r="C48" s="9" t="s">
        <v>655</v>
      </c>
      <c r="D48" s="24"/>
      <c r="E48" s="24"/>
      <c r="F48" s="25"/>
      <c r="G48" s="20" t="s">
        <v>307</v>
      </c>
      <c r="H48" s="24"/>
      <c r="I48" s="25"/>
    </row>
    <row r="49" ht="24" customHeight="1" spans="2:9">
      <c r="B49" s="3" t="s">
        <v>656</v>
      </c>
      <c r="C49" s="7" t="s">
        <v>657</v>
      </c>
      <c r="D49" s="24"/>
      <c r="E49" s="24"/>
      <c r="F49" s="25"/>
      <c r="G49" s="8" t="s">
        <v>295</v>
      </c>
      <c r="H49" s="24"/>
      <c r="I49" s="25"/>
    </row>
    <row r="50" ht="24" customHeight="1" spans="2:9">
      <c r="B50" s="20" t="s">
        <v>305</v>
      </c>
      <c r="C50" s="9" t="s">
        <v>658</v>
      </c>
      <c r="D50" s="24"/>
      <c r="E50" s="24"/>
      <c r="F50" s="25"/>
      <c r="G50" s="20" t="s">
        <v>474</v>
      </c>
      <c r="H50" s="24"/>
      <c r="I50" s="25"/>
    </row>
    <row r="51" ht="24" customHeight="1" spans="2:9">
      <c r="B51" s="3" t="s">
        <v>298</v>
      </c>
      <c r="C51" s="7" t="s">
        <v>659</v>
      </c>
      <c r="D51" s="24"/>
      <c r="E51" s="24"/>
      <c r="F51" s="25"/>
      <c r="G51" s="8" t="s">
        <v>307</v>
      </c>
      <c r="H51" s="24"/>
      <c r="I51" s="25"/>
    </row>
    <row r="52" ht="24" customHeight="1" spans="2:9">
      <c r="B52" s="20" t="s">
        <v>302</v>
      </c>
      <c r="C52" s="9" t="s">
        <v>660</v>
      </c>
      <c r="D52" s="24"/>
      <c r="E52" s="24"/>
      <c r="F52" s="25"/>
      <c r="G52" s="20" t="s">
        <v>474</v>
      </c>
      <c r="H52" s="24"/>
      <c r="I52" s="25"/>
    </row>
    <row r="53" ht="24" customHeight="1" spans="2:9">
      <c r="B53" s="3" t="s">
        <v>313</v>
      </c>
      <c r="C53" s="7" t="s">
        <v>659</v>
      </c>
      <c r="D53" s="24"/>
      <c r="E53" s="24"/>
      <c r="F53" s="25"/>
      <c r="G53" s="8" t="s">
        <v>307</v>
      </c>
      <c r="H53" s="24"/>
      <c r="I53" s="25"/>
    </row>
    <row r="54" ht="24" customHeight="1" spans="2:9">
      <c r="B54" s="20" t="s">
        <v>315</v>
      </c>
      <c r="C54" s="9" t="s">
        <v>661</v>
      </c>
      <c r="D54" s="24"/>
      <c r="E54" s="24"/>
      <c r="F54" s="25"/>
      <c r="G54" s="20" t="s">
        <v>474</v>
      </c>
      <c r="H54" s="24"/>
      <c r="I54" s="25"/>
    </row>
    <row r="56" ht="24" customHeight="1" spans="2:9">
      <c r="B56" s="5" t="s">
        <v>662</v>
      </c>
      <c r="C56" s="24"/>
      <c r="D56" s="24"/>
      <c r="E56" s="24"/>
      <c r="F56" s="24"/>
      <c r="G56" s="24"/>
      <c r="H56" s="24"/>
      <c r="I56" s="25"/>
    </row>
    <row r="57" ht="28" customHeight="1" spans="2:9">
      <c r="B57" s="6" t="s">
        <v>663</v>
      </c>
      <c r="C57" s="6" t="s">
        <v>664</v>
      </c>
      <c r="D57" s="24"/>
      <c r="E57" s="24"/>
      <c r="F57" s="25"/>
      <c r="G57" s="6" t="s">
        <v>665</v>
      </c>
      <c r="H57" s="24"/>
      <c r="I57" s="25"/>
    </row>
    <row r="58" ht="24" customHeight="1" spans="2:9">
      <c r="B58" s="8" t="s">
        <v>666</v>
      </c>
      <c r="C58" s="7" t="s">
        <v>667</v>
      </c>
      <c r="D58" s="24"/>
      <c r="E58" s="24"/>
      <c r="F58" s="25"/>
      <c r="G58" s="8" t="s">
        <v>668</v>
      </c>
      <c r="H58" s="24"/>
      <c r="I58" s="25"/>
    </row>
    <row r="59" ht="24" customHeight="1" spans="2:9">
      <c r="B59" s="20" t="s">
        <v>669</v>
      </c>
      <c r="C59" s="9" t="s">
        <v>670</v>
      </c>
      <c r="D59" s="24"/>
      <c r="E59" s="24"/>
      <c r="F59" s="25"/>
      <c r="G59" s="20" t="s">
        <v>671</v>
      </c>
      <c r="H59" s="24"/>
      <c r="I59" s="25"/>
    </row>
    <row r="60" ht="24" customHeight="1" spans="2:9">
      <c r="B60" s="8" t="s">
        <v>672</v>
      </c>
      <c r="C60" s="7" t="s">
        <v>588</v>
      </c>
      <c r="D60" s="24"/>
      <c r="E60" s="24"/>
      <c r="F60" s="25"/>
      <c r="G60" s="8" t="s">
        <v>673</v>
      </c>
      <c r="H60" s="24"/>
      <c r="I60" s="25"/>
    </row>
    <row r="61" ht="24" customHeight="1" spans="2:9">
      <c r="B61" s="20" t="s">
        <v>674</v>
      </c>
      <c r="C61" s="9" t="s">
        <v>675</v>
      </c>
      <c r="D61" s="24"/>
      <c r="E61" s="24"/>
      <c r="F61" s="25"/>
      <c r="G61" s="20" t="s">
        <v>676</v>
      </c>
      <c r="H61" s="24"/>
      <c r="I61" s="25"/>
    </row>
  </sheetData>
  <mergeCells count="93">
    <mergeCell ref="B6:I6"/>
    <mergeCell ref="B7:C7"/>
    <mergeCell ref="B9:I9"/>
    <mergeCell ref="B11:I11"/>
    <mergeCell ref="C12:F12"/>
    <mergeCell ref="G12:I12"/>
    <mergeCell ref="C13:F13"/>
    <mergeCell ref="G13:I13"/>
    <mergeCell ref="C14:F14"/>
    <mergeCell ref="G14:I14"/>
    <mergeCell ref="C15:F15"/>
    <mergeCell ref="G15:I15"/>
    <mergeCell ref="C16:F16"/>
    <mergeCell ref="G16:I16"/>
    <mergeCell ref="C17:F17"/>
    <mergeCell ref="G17:I17"/>
    <mergeCell ref="B19:I19"/>
    <mergeCell ref="C20:E20"/>
    <mergeCell ref="F20:G20"/>
    <mergeCell ref="H20:I20"/>
    <mergeCell ref="C21:E21"/>
    <mergeCell ref="F21:G21"/>
    <mergeCell ref="H21:I21"/>
    <mergeCell ref="C22:E22"/>
    <mergeCell ref="F22:G22"/>
    <mergeCell ref="H22:I22"/>
    <mergeCell ref="C23:E23"/>
    <mergeCell ref="F23:G23"/>
    <mergeCell ref="H23:I23"/>
    <mergeCell ref="C24:E24"/>
    <mergeCell ref="F24:G24"/>
    <mergeCell ref="H24:I24"/>
    <mergeCell ref="B26:I26"/>
    <mergeCell ref="C27:E27"/>
    <mergeCell ref="C28:E28"/>
    <mergeCell ref="H28:I28"/>
    <mergeCell ref="C29:E29"/>
    <mergeCell ref="H29:I29"/>
    <mergeCell ref="C30:E30"/>
    <mergeCell ref="H30:I30"/>
    <mergeCell ref="C31:E31"/>
    <mergeCell ref="H31:I31"/>
    <mergeCell ref="C32:E32"/>
    <mergeCell ref="H32:I32"/>
    <mergeCell ref="C33:E33"/>
    <mergeCell ref="H33:I33"/>
    <mergeCell ref="C34:E34"/>
    <mergeCell ref="H34:I34"/>
    <mergeCell ref="B36:I36"/>
    <mergeCell ref="C37:E37"/>
    <mergeCell ref="G37:I37"/>
    <mergeCell ref="C38:E38"/>
    <mergeCell ref="G38:I38"/>
    <mergeCell ref="C39:E39"/>
    <mergeCell ref="G39:I39"/>
    <mergeCell ref="C40:E40"/>
    <mergeCell ref="G40:I40"/>
    <mergeCell ref="C41:E41"/>
    <mergeCell ref="G41:I41"/>
    <mergeCell ref="B43:I43"/>
    <mergeCell ref="C44:F44"/>
    <mergeCell ref="G44:I44"/>
    <mergeCell ref="C45:F45"/>
    <mergeCell ref="G45:I45"/>
    <mergeCell ref="C46:F46"/>
    <mergeCell ref="G46:I46"/>
    <mergeCell ref="C47:F47"/>
    <mergeCell ref="G47:I47"/>
    <mergeCell ref="C48:F48"/>
    <mergeCell ref="G48:I48"/>
    <mergeCell ref="C49:F49"/>
    <mergeCell ref="G49:I49"/>
    <mergeCell ref="C50:F50"/>
    <mergeCell ref="G50:I50"/>
    <mergeCell ref="C51:F51"/>
    <mergeCell ref="G51:I51"/>
    <mergeCell ref="C52:F52"/>
    <mergeCell ref="G52:I52"/>
    <mergeCell ref="C53:F53"/>
    <mergeCell ref="G53:I53"/>
    <mergeCell ref="C54:F54"/>
    <mergeCell ref="G54:I54"/>
    <mergeCell ref="B56:I56"/>
    <mergeCell ref="C57:F57"/>
    <mergeCell ref="G57:I57"/>
    <mergeCell ref="C58:F58"/>
    <mergeCell ref="G58:I58"/>
    <mergeCell ref="C59:F59"/>
    <mergeCell ref="G59:I59"/>
    <mergeCell ref="C60:F60"/>
    <mergeCell ref="G60:I60"/>
    <mergeCell ref="C61:F61"/>
    <mergeCell ref="G61:I6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62"/>
  <sheetViews>
    <sheetView showGridLines="0" workbookViewId="0">
      <selection activeCell="A1" sqref="A1"/>
    </sheetView>
  </sheetViews>
  <sheetFormatPr defaultColWidth="9" defaultRowHeight="14"/>
  <cols>
    <col min="1" max="1" width="2" customWidth="1"/>
    <col min="2" max="2" width="18" customWidth="1"/>
    <col min="3" max="9" width="16" customWidth="1"/>
  </cols>
  <sheetData>
    <row r="2" ht="32" customHeight="1" spans="2:9">
      <c r="B2" s="1" t="s">
        <v>47</v>
      </c>
    </row>
    <row r="3" spans="2:9">
      <c r="B3" s="2" t="s">
        <v>677</v>
      </c>
    </row>
    <row r="4" spans="2:9">
      <c r="B4" s="3" t="s">
        <v>72</v>
      </c>
      <c r="C4" s="4" t="s">
        <v>73</v>
      </c>
      <c r="D4" s="3" t="s">
        <v>74</v>
      </c>
      <c r="E4" s="4" t="s">
        <v>75</v>
      </c>
      <c r="F4" s="3" t="s">
        <v>76</v>
      </c>
      <c r="G4" s="4" t="s">
        <v>77</v>
      </c>
      <c r="H4" s="3" t="s">
        <v>78</v>
      </c>
      <c r="I4" s="4" t="s">
        <v>79</v>
      </c>
    </row>
    <row r="6" ht="24" customHeight="1" spans="2:9">
      <c r="B6" s="5" t="s">
        <v>176</v>
      </c>
      <c r="C6" s="24"/>
      <c r="D6" s="24"/>
      <c r="E6" s="24"/>
      <c r="F6" s="24"/>
      <c r="G6" s="24"/>
      <c r="H6" s="24"/>
      <c r="I6" s="25"/>
    </row>
    <row r="7" ht="17.5" spans="2:9">
      <c r="B7" s="8" t="s">
        <v>678</v>
      </c>
      <c r="C7" s="39" t="s">
        <v>181</v>
      </c>
      <c r="D7" s="8" t="s">
        <v>679</v>
      </c>
      <c r="E7" s="39" t="s">
        <v>181</v>
      </c>
      <c r="F7" s="8" t="s">
        <v>680</v>
      </c>
      <c r="G7" s="39" t="s">
        <v>181</v>
      </c>
      <c r="H7" s="8" t="s">
        <v>681</v>
      </c>
      <c r="I7" s="25"/>
    </row>
    <row r="9" spans="2:9">
      <c r="B9" s="40" t="s">
        <v>682</v>
      </c>
    </row>
    <row r="11" ht="24" customHeight="1" spans="2:9">
      <c r="B11" s="5" t="s">
        <v>183</v>
      </c>
      <c r="C11" s="24"/>
      <c r="D11" s="24"/>
      <c r="E11" s="24"/>
      <c r="F11" s="24"/>
      <c r="G11" s="24"/>
      <c r="H11" s="24"/>
      <c r="I11" s="25"/>
    </row>
    <row r="12" ht="28" customHeight="1" spans="2:9">
      <c r="B12" s="6" t="s">
        <v>184</v>
      </c>
      <c r="C12" s="6" t="s">
        <v>185</v>
      </c>
      <c r="D12" s="24"/>
      <c r="E12" s="24"/>
      <c r="F12" s="25"/>
      <c r="G12" s="6" t="s">
        <v>324</v>
      </c>
      <c r="H12" s="24"/>
      <c r="I12" s="25"/>
    </row>
    <row r="13" ht="56" customHeight="1" spans="2:9">
      <c r="B13" s="3" t="s">
        <v>683</v>
      </c>
      <c r="C13" s="7" t="s">
        <v>684</v>
      </c>
      <c r="D13" s="24"/>
      <c r="E13" s="24"/>
      <c r="F13" s="25"/>
      <c r="G13" s="41" t="s">
        <v>685</v>
      </c>
      <c r="H13" s="24"/>
      <c r="I13" s="25"/>
    </row>
    <row r="14" ht="56" customHeight="1" spans="2:9">
      <c r="B14" s="20" t="s">
        <v>686</v>
      </c>
      <c r="C14" s="9" t="s">
        <v>687</v>
      </c>
      <c r="D14" s="24"/>
      <c r="E14" s="24"/>
      <c r="F14" s="25"/>
      <c r="G14" s="42" t="s">
        <v>688</v>
      </c>
      <c r="H14" s="24"/>
      <c r="I14" s="25"/>
    </row>
    <row r="15" ht="56" customHeight="1" spans="2:9">
      <c r="B15" s="3" t="s">
        <v>689</v>
      </c>
      <c r="C15" s="7" t="s">
        <v>690</v>
      </c>
      <c r="D15" s="24"/>
      <c r="E15" s="24"/>
      <c r="F15" s="25"/>
      <c r="G15" s="41" t="s">
        <v>691</v>
      </c>
      <c r="H15" s="24"/>
      <c r="I15" s="25"/>
    </row>
    <row r="16" ht="56" customHeight="1" spans="2:9">
      <c r="B16" s="20" t="s">
        <v>692</v>
      </c>
      <c r="C16" s="9" t="s">
        <v>693</v>
      </c>
      <c r="D16" s="24"/>
      <c r="E16" s="24"/>
      <c r="F16" s="25"/>
      <c r="G16" s="42" t="s">
        <v>694</v>
      </c>
      <c r="H16" s="24"/>
      <c r="I16" s="25"/>
    </row>
    <row r="17" ht="56" customHeight="1" spans="2:9">
      <c r="B17" s="3" t="s">
        <v>695</v>
      </c>
      <c r="C17" s="7" t="s">
        <v>696</v>
      </c>
      <c r="D17" s="24"/>
      <c r="E17" s="24"/>
      <c r="F17" s="25"/>
      <c r="G17" s="41" t="s">
        <v>697</v>
      </c>
      <c r="H17" s="24"/>
      <c r="I17" s="25"/>
    </row>
    <row r="18" ht="56" customHeight="1" spans="2:9">
      <c r="B18" s="20" t="s">
        <v>698</v>
      </c>
      <c r="C18" s="9" t="s">
        <v>699</v>
      </c>
      <c r="D18" s="24"/>
      <c r="E18" s="24"/>
      <c r="F18" s="25"/>
      <c r="G18" s="42" t="s">
        <v>700</v>
      </c>
      <c r="H18" s="24"/>
      <c r="I18" s="25"/>
    </row>
    <row r="20" ht="24" customHeight="1" spans="2:9">
      <c r="B20" s="5" t="s">
        <v>199</v>
      </c>
      <c r="C20" s="24"/>
      <c r="D20" s="24"/>
      <c r="E20" s="24"/>
      <c r="F20" s="24"/>
      <c r="G20" s="24"/>
      <c r="H20" s="24"/>
      <c r="I20" s="25"/>
    </row>
    <row r="21" ht="28" customHeight="1" spans="2:9">
      <c r="B21" s="6" t="s">
        <v>336</v>
      </c>
      <c r="C21" s="6" t="s">
        <v>201</v>
      </c>
      <c r="D21" s="24"/>
      <c r="E21" s="25"/>
      <c r="F21" s="6" t="s">
        <v>337</v>
      </c>
      <c r="G21" s="25"/>
      <c r="H21" s="6" t="s">
        <v>203</v>
      </c>
      <c r="I21" s="25"/>
    </row>
    <row r="22" ht="42" customHeight="1" spans="2:9">
      <c r="B22" s="3" t="s">
        <v>701</v>
      </c>
      <c r="C22" s="7" t="s">
        <v>702</v>
      </c>
      <c r="D22" s="24"/>
      <c r="E22" s="25"/>
      <c r="F22" s="7" t="s">
        <v>703</v>
      </c>
      <c r="G22" s="25"/>
      <c r="H22" s="7" t="s">
        <v>704</v>
      </c>
      <c r="I22" s="25"/>
    </row>
    <row r="23" ht="42" customHeight="1" spans="2:9">
      <c r="B23" s="20" t="s">
        <v>603</v>
      </c>
      <c r="C23" s="9" t="s">
        <v>705</v>
      </c>
      <c r="D23" s="24"/>
      <c r="E23" s="25"/>
      <c r="F23" s="9" t="s">
        <v>706</v>
      </c>
      <c r="G23" s="25"/>
      <c r="H23" s="9" t="s">
        <v>707</v>
      </c>
      <c r="I23" s="25"/>
    </row>
    <row r="24" ht="42" customHeight="1" spans="2:9">
      <c r="B24" s="3" t="s">
        <v>708</v>
      </c>
      <c r="C24" s="7" t="s">
        <v>709</v>
      </c>
      <c r="D24" s="24"/>
      <c r="E24" s="25"/>
      <c r="F24" s="7" t="s">
        <v>710</v>
      </c>
      <c r="G24" s="25"/>
      <c r="H24" s="7" t="s">
        <v>711</v>
      </c>
      <c r="I24" s="25"/>
    </row>
    <row r="25" ht="42" customHeight="1" spans="2:9">
      <c r="B25" s="20" t="s">
        <v>712</v>
      </c>
      <c r="C25" s="9" t="s">
        <v>713</v>
      </c>
      <c r="D25" s="24"/>
      <c r="E25" s="25"/>
      <c r="F25" s="9" t="s">
        <v>714</v>
      </c>
      <c r="G25" s="25"/>
      <c r="H25" s="9" t="s">
        <v>715</v>
      </c>
      <c r="I25" s="25"/>
    </row>
    <row r="27" ht="24" customHeight="1" spans="2:9">
      <c r="B27" s="5" t="s">
        <v>224</v>
      </c>
      <c r="C27" s="24"/>
      <c r="D27" s="24"/>
      <c r="E27" s="24"/>
      <c r="F27" s="24"/>
      <c r="G27" s="24"/>
      <c r="H27" s="24"/>
      <c r="I27" s="25"/>
    </row>
    <row r="28" ht="28" customHeight="1" spans="2:9">
      <c r="B28" s="6" t="s">
        <v>225</v>
      </c>
      <c r="C28" s="6" t="s">
        <v>226</v>
      </c>
      <c r="D28" s="24"/>
      <c r="E28" s="25"/>
      <c r="F28" s="6" t="s">
        <v>227</v>
      </c>
      <c r="G28" s="6" t="s">
        <v>228</v>
      </c>
      <c r="H28" s="6" t="s">
        <v>354</v>
      </c>
      <c r="I28" s="6"/>
    </row>
    <row r="29" ht="36" customHeight="1" spans="2:9">
      <c r="B29" s="3" t="s">
        <v>532</v>
      </c>
      <c r="C29" s="7" t="s">
        <v>533</v>
      </c>
      <c r="D29" s="24"/>
      <c r="E29" s="25"/>
      <c r="F29" s="7" t="s">
        <v>453</v>
      </c>
      <c r="G29" s="8" t="s">
        <v>233</v>
      </c>
      <c r="H29" s="41" t="s">
        <v>716</v>
      </c>
      <c r="I29" s="25"/>
    </row>
    <row r="30" ht="36" customHeight="1" spans="2:9">
      <c r="B30" s="20" t="s">
        <v>358</v>
      </c>
      <c r="C30" s="9" t="s">
        <v>448</v>
      </c>
      <c r="D30" s="24"/>
      <c r="E30" s="25"/>
      <c r="F30" s="9" t="s">
        <v>717</v>
      </c>
      <c r="G30" s="20" t="s">
        <v>238</v>
      </c>
      <c r="H30" s="42" t="s">
        <v>718</v>
      </c>
      <c r="I30" s="25"/>
    </row>
    <row r="31" ht="36" customHeight="1" spans="2:9">
      <c r="B31" s="3" t="s">
        <v>529</v>
      </c>
      <c r="C31" s="7" t="s">
        <v>612</v>
      </c>
      <c r="D31" s="24"/>
      <c r="E31" s="25"/>
      <c r="F31" s="7" t="s">
        <v>717</v>
      </c>
      <c r="G31" s="8" t="s">
        <v>238</v>
      </c>
      <c r="H31" s="41" t="s">
        <v>719</v>
      </c>
      <c r="I31" s="25"/>
    </row>
    <row r="32" ht="36" customHeight="1" spans="2:9">
      <c r="B32" s="20" t="s">
        <v>720</v>
      </c>
      <c r="C32" s="9" t="s">
        <v>721</v>
      </c>
      <c r="D32" s="24"/>
      <c r="E32" s="25"/>
      <c r="F32" s="9" t="s">
        <v>722</v>
      </c>
      <c r="G32" s="20" t="s">
        <v>238</v>
      </c>
      <c r="H32" s="42" t="s">
        <v>723</v>
      </c>
      <c r="I32" s="25"/>
    </row>
    <row r="33" ht="36" customHeight="1" spans="2:9">
      <c r="B33" s="3" t="s">
        <v>724</v>
      </c>
      <c r="C33" s="7" t="s">
        <v>725</v>
      </c>
      <c r="D33" s="24"/>
      <c r="E33" s="25"/>
      <c r="F33" s="7" t="s">
        <v>462</v>
      </c>
      <c r="G33" s="8" t="s">
        <v>726</v>
      </c>
      <c r="H33" s="41" t="s">
        <v>727</v>
      </c>
      <c r="I33" s="25"/>
    </row>
    <row r="34" ht="36" customHeight="1" spans="2:9">
      <c r="B34" s="20" t="s">
        <v>728</v>
      </c>
      <c r="C34" s="9" t="s">
        <v>729</v>
      </c>
      <c r="D34" s="24"/>
      <c r="E34" s="25"/>
      <c r="F34" s="9" t="s">
        <v>730</v>
      </c>
      <c r="G34" s="20" t="s">
        <v>251</v>
      </c>
      <c r="H34" s="42" t="s">
        <v>731</v>
      </c>
      <c r="I34" s="25"/>
    </row>
    <row r="35" ht="36" customHeight="1" spans="2:9">
      <c r="B35" s="3" t="s">
        <v>732</v>
      </c>
      <c r="C35" s="7" t="s">
        <v>733</v>
      </c>
      <c r="D35" s="24"/>
      <c r="E35" s="25"/>
      <c r="F35" s="7" t="s">
        <v>623</v>
      </c>
      <c r="G35" s="8" t="s">
        <v>734</v>
      </c>
      <c r="H35" s="41" t="s">
        <v>735</v>
      </c>
      <c r="I35" s="25"/>
    </row>
    <row r="37" ht="24" customHeight="1" spans="2:9">
      <c r="B37" s="5" t="s">
        <v>634</v>
      </c>
      <c r="C37" s="24"/>
      <c r="D37" s="24"/>
      <c r="E37" s="24"/>
      <c r="F37" s="24"/>
      <c r="G37" s="24"/>
      <c r="H37" s="24"/>
      <c r="I37" s="25"/>
    </row>
    <row r="38" ht="28" customHeight="1" spans="2:9">
      <c r="B38" s="6" t="s">
        <v>269</v>
      </c>
      <c r="C38" s="6" t="s">
        <v>270</v>
      </c>
      <c r="D38" s="24"/>
      <c r="E38" s="25"/>
      <c r="F38" s="6" t="s">
        <v>271</v>
      </c>
      <c r="G38" s="6" t="s">
        <v>272</v>
      </c>
      <c r="H38" s="24"/>
      <c r="I38" s="25"/>
    </row>
    <row r="39" ht="32" customHeight="1" spans="2:9">
      <c r="B39" s="8" t="s">
        <v>736</v>
      </c>
      <c r="C39" s="7" t="s">
        <v>737</v>
      </c>
      <c r="D39" s="24"/>
      <c r="E39" s="25"/>
      <c r="F39" s="43" t="s">
        <v>738</v>
      </c>
      <c r="G39" s="7" t="s">
        <v>739</v>
      </c>
      <c r="H39" s="24"/>
      <c r="I39" s="25"/>
    </row>
    <row r="40" ht="32" customHeight="1" spans="2:9">
      <c r="B40" s="20" t="s">
        <v>740</v>
      </c>
      <c r="C40" s="9" t="s">
        <v>741</v>
      </c>
      <c r="D40" s="24"/>
      <c r="E40" s="25"/>
      <c r="F40" s="20" t="s">
        <v>742</v>
      </c>
      <c r="G40" s="9" t="s">
        <v>743</v>
      </c>
      <c r="H40" s="24"/>
      <c r="I40" s="25"/>
    </row>
    <row r="41" ht="32" customHeight="1" spans="2:9">
      <c r="B41" s="8" t="s">
        <v>744</v>
      </c>
      <c r="C41" s="7" t="s">
        <v>745</v>
      </c>
      <c r="D41" s="24"/>
      <c r="E41" s="25"/>
      <c r="F41" s="43" t="s">
        <v>746</v>
      </c>
      <c r="G41" s="7" t="s">
        <v>747</v>
      </c>
      <c r="H41" s="24"/>
      <c r="I41" s="25"/>
    </row>
    <row r="42" ht="32" customHeight="1" spans="2:9">
      <c r="B42" s="20" t="s">
        <v>748</v>
      </c>
      <c r="C42" s="9" t="s">
        <v>749</v>
      </c>
      <c r="D42" s="24"/>
      <c r="E42" s="25"/>
      <c r="F42" s="20" t="s">
        <v>750</v>
      </c>
      <c r="G42" s="9" t="s">
        <v>751</v>
      </c>
      <c r="H42" s="24"/>
      <c r="I42" s="25"/>
    </row>
    <row r="44" ht="24" customHeight="1" spans="2:9">
      <c r="B44" s="5" t="s">
        <v>289</v>
      </c>
      <c r="C44" s="24"/>
      <c r="D44" s="24"/>
      <c r="E44" s="24"/>
      <c r="F44" s="24"/>
      <c r="G44" s="24"/>
      <c r="H44" s="24"/>
      <c r="I44" s="25"/>
    </row>
    <row r="45" ht="28" customHeight="1" spans="2:9">
      <c r="B45" s="6" t="s">
        <v>290</v>
      </c>
      <c r="C45" s="6" t="s">
        <v>465</v>
      </c>
      <c r="D45" s="24"/>
      <c r="E45" s="24"/>
      <c r="F45" s="25"/>
      <c r="G45" s="6" t="s">
        <v>292</v>
      </c>
      <c r="H45" s="24"/>
      <c r="I45" s="25"/>
    </row>
    <row r="46" ht="24" customHeight="1" spans="2:9">
      <c r="B46" s="3" t="s">
        <v>293</v>
      </c>
      <c r="C46" s="7" t="s">
        <v>752</v>
      </c>
      <c r="D46" s="24"/>
      <c r="E46" s="24"/>
      <c r="F46" s="25"/>
      <c r="G46" s="8" t="s">
        <v>295</v>
      </c>
      <c r="H46" s="24"/>
      <c r="I46" s="25"/>
    </row>
    <row r="47" ht="24" customHeight="1" spans="2:9">
      <c r="B47" s="20" t="s">
        <v>296</v>
      </c>
      <c r="C47" s="9" t="s">
        <v>753</v>
      </c>
      <c r="D47" s="24"/>
      <c r="E47" s="24"/>
      <c r="F47" s="25"/>
      <c r="G47" s="20" t="s">
        <v>295</v>
      </c>
      <c r="H47" s="24"/>
      <c r="I47" s="25"/>
    </row>
    <row r="48" ht="24" customHeight="1" spans="2:9">
      <c r="B48" s="3" t="s">
        <v>300</v>
      </c>
      <c r="C48" s="7" t="s">
        <v>754</v>
      </c>
      <c r="D48" s="24"/>
      <c r="E48" s="24"/>
      <c r="F48" s="25"/>
      <c r="G48" s="8" t="s">
        <v>295</v>
      </c>
      <c r="H48" s="24"/>
      <c r="I48" s="25"/>
    </row>
    <row r="49" ht="24" customHeight="1" spans="2:9">
      <c r="B49" s="20" t="s">
        <v>298</v>
      </c>
      <c r="C49" s="9" t="s">
        <v>755</v>
      </c>
      <c r="D49" s="24"/>
      <c r="E49" s="24"/>
      <c r="F49" s="25"/>
      <c r="G49" s="20" t="s">
        <v>295</v>
      </c>
      <c r="H49" s="24"/>
      <c r="I49" s="25"/>
    </row>
    <row r="50" ht="24" customHeight="1" spans="2:9">
      <c r="B50" s="3" t="s">
        <v>305</v>
      </c>
      <c r="C50" s="7" t="s">
        <v>756</v>
      </c>
      <c r="D50" s="24"/>
      <c r="E50" s="24"/>
      <c r="F50" s="25"/>
      <c r="G50" s="8" t="s">
        <v>307</v>
      </c>
      <c r="H50" s="24"/>
      <c r="I50" s="25"/>
    </row>
    <row r="51" ht="24" customHeight="1" spans="2:9">
      <c r="B51" s="20" t="s">
        <v>302</v>
      </c>
      <c r="C51" s="9" t="s">
        <v>757</v>
      </c>
      <c r="D51" s="24"/>
      <c r="E51" s="24"/>
      <c r="F51" s="25"/>
      <c r="G51" s="20" t="s">
        <v>295</v>
      </c>
      <c r="H51" s="24"/>
      <c r="I51" s="25"/>
    </row>
    <row r="52" ht="24" customHeight="1" spans="2:9">
      <c r="B52" s="3" t="s">
        <v>313</v>
      </c>
      <c r="C52" s="7" t="s">
        <v>758</v>
      </c>
      <c r="D52" s="24"/>
      <c r="E52" s="24"/>
      <c r="F52" s="25"/>
      <c r="G52" s="8" t="s">
        <v>307</v>
      </c>
      <c r="H52" s="24"/>
      <c r="I52" s="25"/>
    </row>
    <row r="53" ht="24" customHeight="1" spans="2:9">
      <c r="B53" s="20" t="s">
        <v>311</v>
      </c>
      <c r="C53" s="9" t="s">
        <v>759</v>
      </c>
      <c r="D53" s="24"/>
      <c r="E53" s="24"/>
      <c r="F53" s="25"/>
      <c r="G53" s="20" t="s">
        <v>307</v>
      </c>
      <c r="H53" s="24"/>
      <c r="I53" s="25"/>
    </row>
    <row r="54" ht="24" customHeight="1" spans="2:9">
      <c r="B54" s="3" t="s">
        <v>308</v>
      </c>
      <c r="C54" s="7" t="s">
        <v>474</v>
      </c>
      <c r="D54" s="24"/>
      <c r="E54" s="24"/>
      <c r="F54" s="25"/>
      <c r="G54" s="8" t="s">
        <v>474</v>
      </c>
      <c r="H54" s="24"/>
      <c r="I54" s="25"/>
    </row>
    <row r="55" ht="24" customHeight="1" spans="2:9">
      <c r="B55" s="20" t="s">
        <v>315</v>
      </c>
      <c r="C55" s="9" t="s">
        <v>760</v>
      </c>
      <c r="D55" s="24"/>
      <c r="E55" s="24"/>
      <c r="F55" s="25"/>
      <c r="G55" s="20" t="s">
        <v>307</v>
      </c>
      <c r="H55" s="24"/>
      <c r="I55" s="25"/>
    </row>
    <row r="57" ht="24" customHeight="1" spans="2:9">
      <c r="B57" s="5" t="s">
        <v>761</v>
      </c>
      <c r="C57" s="24"/>
      <c r="D57" s="24"/>
      <c r="E57" s="24"/>
      <c r="F57" s="24"/>
      <c r="G57" s="24"/>
      <c r="H57" s="24"/>
      <c r="I57" s="25"/>
    </row>
    <row r="58" ht="28" customHeight="1" spans="2:9">
      <c r="B58" s="6" t="s">
        <v>762</v>
      </c>
      <c r="C58" s="6" t="s">
        <v>763</v>
      </c>
      <c r="D58" s="25"/>
      <c r="E58" s="6" t="s">
        <v>665</v>
      </c>
      <c r="F58" s="24"/>
      <c r="G58" s="24"/>
      <c r="H58" s="24"/>
      <c r="I58" s="25"/>
    </row>
    <row r="59" ht="22" customHeight="1" spans="2:9">
      <c r="B59" s="8" t="s">
        <v>764</v>
      </c>
      <c r="C59" s="4" t="s">
        <v>765</v>
      </c>
      <c r="D59" s="25"/>
      <c r="E59" s="7" t="s">
        <v>766</v>
      </c>
      <c r="F59" s="24"/>
      <c r="G59" s="24"/>
      <c r="H59" s="24"/>
      <c r="I59" s="25"/>
    </row>
    <row r="60" ht="22" customHeight="1" spans="2:9">
      <c r="B60" s="20" t="s">
        <v>767</v>
      </c>
      <c r="C60" s="32" t="s">
        <v>768</v>
      </c>
      <c r="D60" s="25"/>
      <c r="E60" s="9" t="s">
        <v>769</v>
      </c>
      <c r="F60" s="24"/>
      <c r="G60" s="24"/>
      <c r="H60" s="24"/>
      <c r="I60" s="25"/>
    </row>
    <row r="61" ht="22" customHeight="1" spans="2:9">
      <c r="B61" s="8" t="s">
        <v>770</v>
      </c>
      <c r="C61" s="4" t="s">
        <v>771</v>
      </c>
      <c r="D61" s="25"/>
      <c r="E61" s="7" t="s">
        <v>772</v>
      </c>
      <c r="F61" s="24"/>
      <c r="G61" s="24"/>
      <c r="H61" s="24"/>
      <c r="I61" s="25"/>
    </row>
    <row r="62" ht="22" customHeight="1" spans="2:9">
      <c r="B62" s="20" t="s">
        <v>773</v>
      </c>
      <c r="C62" s="32" t="s">
        <v>774</v>
      </c>
      <c r="D62" s="25"/>
      <c r="E62" s="9" t="s">
        <v>775</v>
      </c>
      <c r="F62" s="24"/>
      <c r="G62" s="24"/>
      <c r="H62" s="24"/>
      <c r="I62" s="25"/>
    </row>
  </sheetData>
  <mergeCells count="95">
    <mergeCell ref="B6:I6"/>
    <mergeCell ref="H7:I7"/>
    <mergeCell ref="B9:I9"/>
    <mergeCell ref="B11:I11"/>
    <mergeCell ref="C12:F12"/>
    <mergeCell ref="G12:I12"/>
    <mergeCell ref="C13:F13"/>
    <mergeCell ref="G13:I13"/>
    <mergeCell ref="C14:F14"/>
    <mergeCell ref="G14:I14"/>
    <mergeCell ref="C15:F15"/>
    <mergeCell ref="G15:I15"/>
    <mergeCell ref="C16:F16"/>
    <mergeCell ref="G16:I16"/>
    <mergeCell ref="C17:F17"/>
    <mergeCell ref="G17:I17"/>
    <mergeCell ref="C18:F18"/>
    <mergeCell ref="G18:I18"/>
    <mergeCell ref="B20:I20"/>
    <mergeCell ref="C21:E21"/>
    <mergeCell ref="F21:G21"/>
    <mergeCell ref="H21:I21"/>
    <mergeCell ref="C22:E22"/>
    <mergeCell ref="F22:G22"/>
    <mergeCell ref="H22:I22"/>
    <mergeCell ref="C23:E23"/>
    <mergeCell ref="F23:G23"/>
    <mergeCell ref="H23:I23"/>
    <mergeCell ref="C24:E24"/>
    <mergeCell ref="F24:G24"/>
    <mergeCell ref="H24:I24"/>
    <mergeCell ref="C25:E25"/>
    <mergeCell ref="F25:G25"/>
    <mergeCell ref="H25:I25"/>
    <mergeCell ref="B27:I27"/>
    <mergeCell ref="C28:E28"/>
    <mergeCell ref="C29:E29"/>
    <mergeCell ref="H29:I29"/>
    <mergeCell ref="C30:E30"/>
    <mergeCell ref="H30:I30"/>
    <mergeCell ref="C31:E31"/>
    <mergeCell ref="H31:I31"/>
    <mergeCell ref="C32:E32"/>
    <mergeCell ref="H32:I32"/>
    <mergeCell ref="C33:E33"/>
    <mergeCell ref="H33:I33"/>
    <mergeCell ref="C34:E34"/>
    <mergeCell ref="H34:I34"/>
    <mergeCell ref="C35:E35"/>
    <mergeCell ref="H35:I35"/>
    <mergeCell ref="B37:I37"/>
    <mergeCell ref="C38:E38"/>
    <mergeCell ref="G38:I38"/>
    <mergeCell ref="C39:E39"/>
    <mergeCell ref="G39:I39"/>
    <mergeCell ref="C40:E40"/>
    <mergeCell ref="G40:I40"/>
    <mergeCell ref="C41:E41"/>
    <mergeCell ref="G41:I41"/>
    <mergeCell ref="C42:E42"/>
    <mergeCell ref="G42:I42"/>
    <mergeCell ref="B44:I44"/>
    <mergeCell ref="C45:F45"/>
    <mergeCell ref="G45:I45"/>
    <mergeCell ref="C46:F46"/>
    <mergeCell ref="G46:I46"/>
    <mergeCell ref="C47:F47"/>
    <mergeCell ref="G47:I47"/>
    <mergeCell ref="C48:F48"/>
    <mergeCell ref="G48:I48"/>
    <mergeCell ref="C49:F49"/>
    <mergeCell ref="G49:I49"/>
    <mergeCell ref="C50:F50"/>
    <mergeCell ref="G50:I50"/>
    <mergeCell ref="C51:F51"/>
    <mergeCell ref="G51:I51"/>
    <mergeCell ref="C52:F52"/>
    <mergeCell ref="G52:I52"/>
    <mergeCell ref="C53:F53"/>
    <mergeCell ref="G53:I53"/>
    <mergeCell ref="C54:F54"/>
    <mergeCell ref="G54:I54"/>
    <mergeCell ref="C55:F55"/>
    <mergeCell ref="G55:I55"/>
    <mergeCell ref="B57:I57"/>
    <mergeCell ref="C58:D58"/>
    <mergeCell ref="E58:I58"/>
    <mergeCell ref="C59:D59"/>
    <mergeCell ref="E59:I59"/>
    <mergeCell ref="C60:D60"/>
    <mergeCell ref="E60:I60"/>
    <mergeCell ref="C61:D61"/>
    <mergeCell ref="E61:I61"/>
    <mergeCell ref="C62:D62"/>
    <mergeCell ref="E62:I6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60"/>
  <sheetViews>
    <sheetView showGridLines="0" workbookViewId="0">
      <selection activeCell="A1" sqref="A1"/>
    </sheetView>
  </sheetViews>
  <sheetFormatPr defaultColWidth="9" defaultRowHeight="14"/>
  <cols>
    <col min="1" max="1" width="2" customWidth="1"/>
    <col min="2" max="2" width="18" customWidth="1"/>
    <col min="3" max="9" width="16" customWidth="1"/>
  </cols>
  <sheetData>
    <row r="2" ht="32" customHeight="1" spans="2:9">
      <c r="B2" s="1" t="s">
        <v>49</v>
      </c>
    </row>
    <row r="3" spans="2:9">
      <c r="B3" s="2" t="s">
        <v>776</v>
      </c>
    </row>
    <row r="4" spans="2:9">
      <c r="B4" s="3" t="s">
        <v>72</v>
      </c>
      <c r="C4" s="4" t="s">
        <v>73</v>
      </c>
      <c r="D4" s="3" t="s">
        <v>74</v>
      </c>
      <c r="E4" s="4" t="s">
        <v>75</v>
      </c>
      <c r="F4" s="3" t="s">
        <v>76</v>
      </c>
      <c r="G4" s="4" t="s">
        <v>77</v>
      </c>
      <c r="H4" s="3" t="s">
        <v>78</v>
      </c>
      <c r="I4" s="4" t="s">
        <v>79</v>
      </c>
    </row>
    <row r="6" ht="24" customHeight="1" spans="2:9">
      <c r="B6" s="5" t="s">
        <v>176</v>
      </c>
      <c r="C6" s="24"/>
      <c r="D6" s="24"/>
      <c r="E6" s="24"/>
      <c r="F6" s="24"/>
      <c r="G6" s="24"/>
      <c r="H6" s="24"/>
      <c r="I6" s="25"/>
    </row>
    <row r="7" ht="17.5" spans="2:9">
      <c r="B7" s="8" t="s">
        <v>777</v>
      </c>
      <c r="C7" s="39" t="s">
        <v>181</v>
      </c>
      <c r="D7" s="8" t="s">
        <v>778</v>
      </c>
      <c r="E7" s="39" t="s">
        <v>181</v>
      </c>
      <c r="F7" s="8" t="s">
        <v>779</v>
      </c>
      <c r="G7" s="39" t="s">
        <v>181</v>
      </c>
      <c r="H7" s="8" t="s">
        <v>780</v>
      </c>
      <c r="I7" s="25"/>
    </row>
    <row r="9" spans="2:9">
      <c r="B9" s="40" t="s">
        <v>781</v>
      </c>
    </row>
    <row r="11" ht="24" customHeight="1" spans="2:9">
      <c r="B11" s="5" t="s">
        <v>183</v>
      </c>
      <c r="C11" s="24"/>
      <c r="D11" s="24"/>
      <c r="E11" s="24"/>
      <c r="F11" s="24"/>
      <c r="G11" s="24"/>
      <c r="H11" s="24"/>
      <c r="I11" s="25"/>
    </row>
    <row r="12" ht="28" customHeight="1" spans="2:9">
      <c r="B12" s="6" t="s">
        <v>184</v>
      </c>
      <c r="C12" s="6" t="s">
        <v>185</v>
      </c>
      <c r="D12" s="24"/>
      <c r="E12" s="24"/>
      <c r="F12" s="25"/>
      <c r="G12" s="6" t="s">
        <v>324</v>
      </c>
      <c r="H12" s="24"/>
      <c r="I12" s="25"/>
    </row>
    <row r="13" ht="56" customHeight="1" spans="2:9">
      <c r="B13" s="3" t="s">
        <v>782</v>
      </c>
      <c r="C13" s="7" t="s">
        <v>783</v>
      </c>
      <c r="D13" s="24"/>
      <c r="E13" s="24"/>
      <c r="F13" s="25"/>
      <c r="G13" s="41" t="s">
        <v>784</v>
      </c>
      <c r="H13" s="24"/>
      <c r="I13" s="25"/>
    </row>
    <row r="14" ht="56" customHeight="1" spans="2:9">
      <c r="B14" s="20" t="s">
        <v>785</v>
      </c>
      <c r="C14" s="9" t="s">
        <v>786</v>
      </c>
      <c r="D14" s="24"/>
      <c r="E14" s="24"/>
      <c r="F14" s="25"/>
      <c r="G14" s="42" t="s">
        <v>787</v>
      </c>
      <c r="H14" s="24"/>
      <c r="I14" s="25"/>
    </row>
    <row r="15" ht="56" customHeight="1" spans="2:9">
      <c r="B15" s="3" t="s">
        <v>788</v>
      </c>
      <c r="C15" s="7" t="s">
        <v>789</v>
      </c>
      <c r="D15" s="24"/>
      <c r="E15" s="24"/>
      <c r="F15" s="25"/>
      <c r="G15" s="41" t="s">
        <v>790</v>
      </c>
      <c r="H15" s="24"/>
      <c r="I15" s="25"/>
    </row>
    <row r="16" ht="56" customHeight="1" spans="2:9">
      <c r="B16" s="20" t="s">
        <v>791</v>
      </c>
      <c r="C16" s="9" t="s">
        <v>792</v>
      </c>
      <c r="D16" s="24"/>
      <c r="E16" s="24"/>
      <c r="F16" s="25"/>
      <c r="G16" s="42" t="s">
        <v>793</v>
      </c>
      <c r="H16" s="24"/>
      <c r="I16" s="25"/>
    </row>
    <row r="17" ht="56" customHeight="1" spans="2:9">
      <c r="B17" s="3" t="s">
        <v>794</v>
      </c>
      <c r="C17" s="7" t="s">
        <v>795</v>
      </c>
      <c r="D17" s="24"/>
      <c r="E17" s="24"/>
      <c r="F17" s="25"/>
      <c r="G17" s="41" t="s">
        <v>796</v>
      </c>
      <c r="H17" s="24"/>
      <c r="I17" s="25"/>
    </row>
    <row r="19" ht="24" customHeight="1" spans="2:9">
      <c r="B19" s="5" t="s">
        <v>199</v>
      </c>
      <c r="C19" s="24"/>
      <c r="D19" s="24"/>
      <c r="E19" s="24"/>
      <c r="F19" s="24"/>
      <c r="G19" s="24"/>
      <c r="H19" s="24"/>
      <c r="I19" s="25"/>
    </row>
    <row r="20" ht="28" customHeight="1" spans="2:9">
      <c r="B20" s="6" t="s">
        <v>336</v>
      </c>
      <c r="C20" s="6" t="s">
        <v>201</v>
      </c>
      <c r="D20" s="24"/>
      <c r="E20" s="25"/>
      <c r="F20" s="6" t="s">
        <v>337</v>
      </c>
      <c r="G20" s="25"/>
      <c r="H20" s="6" t="s">
        <v>203</v>
      </c>
      <c r="I20" s="25"/>
    </row>
    <row r="21" ht="42" customHeight="1" spans="2:9">
      <c r="B21" s="3" t="s">
        <v>797</v>
      </c>
      <c r="C21" s="7" t="s">
        <v>798</v>
      </c>
      <c r="D21" s="24"/>
      <c r="E21" s="25"/>
      <c r="F21" s="7" t="s">
        <v>438</v>
      </c>
      <c r="G21" s="25"/>
      <c r="H21" s="7" t="s">
        <v>799</v>
      </c>
      <c r="I21" s="25"/>
    </row>
    <row r="22" ht="42" customHeight="1" spans="2:9">
      <c r="B22" s="20" t="s">
        <v>800</v>
      </c>
      <c r="C22" s="9" t="s">
        <v>801</v>
      </c>
      <c r="D22" s="24"/>
      <c r="E22" s="25"/>
      <c r="F22" s="9" t="s">
        <v>802</v>
      </c>
      <c r="G22" s="25"/>
      <c r="H22" s="9" t="s">
        <v>803</v>
      </c>
      <c r="I22" s="25"/>
    </row>
    <row r="23" ht="42" customHeight="1" spans="2:9">
      <c r="B23" s="3" t="s">
        <v>804</v>
      </c>
      <c r="C23" s="7" t="s">
        <v>805</v>
      </c>
      <c r="D23" s="24"/>
      <c r="E23" s="25"/>
      <c r="F23" s="7" t="s">
        <v>806</v>
      </c>
      <c r="G23" s="25"/>
      <c r="H23" s="7" t="s">
        <v>807</v>
      </c>
      <c r="I23" s="25"/>
    </row>
    <row r="24" ht="42" customHeight="1" spans="2:9">
      <c r="B24" s="20" t="s">
        <v>808</v>
      </c>
      <c r="C24" s="9" t="s">
        <v>809</v>
      </c>
      <c r="D24" s="24"/>
      <c r="E24" s="25"/>
      <c r="F24" s="9" t="s">
        <v>810</v>
      </c>
      <c r="G24" s="25"/>
      <c r="H24" s="9" t="s">
        <v>811</v>
      </c>
      <c r="I24" s="25"/>
    </row>
    <row r="26" ht="24" customHeight="1" spans="2:9">
      <c r="B26" s="5" t="s">
        <v>224</v>
      </c>
      <c r="C26" s="24"/>
      <c r="D26" s="24"/>
      <c r="E26" s="24"/>
      <c r="F26" s="24"/>
      <c r="G26" s="24"/>
      <c r="H26" s="24"/>
      <c r="I26" s="25"/>
    </row>
    <row r="27" ht="28" customHeight="1" spans="2:9">
      <c r="B27" s="6" t="s">
        <v>225</v>
      </c>
      <c r="C27" s="6" t="s">
        <v>226</v>
      </c>
      <c r="D27" s="24"/>
      <c r="E27" s="25"/>
      <c r="F27" s="6" t="s">
        <v>227</v>
      </c>
      <c r="G27" s="6" t="s">
        <v>228</v>
      </c>
      <c r="H27" s="6" t="s">
        <v>354</v>
      </c>
      <c r="I27" s="6"/>
    </row>
    <row r="28" ht="36" customHeight="1" spans="2:9">
      <c r="B28" s="3" t="s">
        <v>812</v>
      </c>
      <c r="C28" s="7" t="s">
        <v>813</v>
      </c>
      <c r="D28" s="24"/>
      <c r="E28" s="25"/>
      <c r="F28" s="7" t="s">
        <v>814</v>
      </c>
      <c r="G28" s="8" t="s">
        <v>233</v>
      </c>
      <c r="H28" s="41" t="s">
        <v>815</v>
      </c>
      <c r="I28" s="25"/>
    </row>
    <row r="29" ht="36" customHeight="1" spans="2:9">
      <c r="B29" s="20" t="s">
        <v>230</v>
      </c>
      <c r="C29" s="9" t="s">
        <v>355</v>
      </c>
      <c r="D29" s="24"/>
      <c r="E29" s="25"/>
      <c r="F29" s="9" t="s">
        <v>453</v>
      </c>
      <c r="G29" s="20" t="s">
        <v>233</v>
      </c>
      <c r="H29" s="42" t="s">
        <v>816</v>
      </c>
      <c r="I29" s="25"/>
    </row>
    <row r="30" ht="36" customHeight="1" spans="2:9">
      <c r="B30" s="3" t="s">
        <v>817</v>
      </c>
      <c r="C30" s="7" t="s">
        <v>818</v>
      </c>
      <c r="D30" s="24"/>
      <c r="E30" s="25"/>
      <c r="F30" s="7" t="s">
        <v>717</v>
      </c>
      <c r="G30" s="8" t="s">
        <v>238</v>
      </c>
      <c r="H30" s="41" t="s">
        <v>819</v>
      </c>
      <c r="I30" s="25"/>
    </row>
    <row r="31" ht="36" customHeight="1" spans="2:9">
      <c r="B31" s="20" t="s">
        <v>820</v>
      </c>
      <c r="C31" s="9" t="s">
        <v>821</v>
      </c>
      <c r="D31" s="24"/>
      <c r="E31" s="25"/>
      <c r="F31" s="9" t="s">
        <v>717</v>
      </c>
      <c r="G31" s="20" t="s">
        <v>238</v>
      </c>
      <c r="H31" s="42" t="s">
        <v>822</v>
      </c>
      <c r="I31" s="25"/>
    </row>
    <row r="32" ht="36" customHeight="1" spans="2:9">
      <c r="B32" s="3" t="s">
        <v>823</v>
      </c>
      <c r="C32" s="7" t="s">
        <v>824</v>
      </c>
      <c r="D32" s="24"/>
      <c r="E32" s="25"/>
      <c r="F32" s="7" t="s">
        <v>717</v>
      </c>
      <c r="G32" s="8" t="s">
        <v>825</v>
      </c>
      <c r="H32" s="41" t="s">
        <v>826</v>
      </c>
      <c r="I32" s="25"/>
    </row>
    <row r="33" ht="36" customHeight="1" spans="2:9">
      <c r="B33" s="20" t="s">
        <v>827</v>
      </c>
      <c r="C33" s="9" t="s">
        <v>828</v>
      </c>
      <c r="D33" s="24"/>
      <c r="E33" s="25"/>
      <c r="F33" s="9" t="s">
        <v>457</v>
      </c>
      <c r="G33" s="20" t="s">
        <v>726</v>
      </c>
      <c r="H33" s="42" t="s">
        <v>829</v>
      </c>
      <c r="I33" s="25"/>
    </row>
    <row r="35" ht="24" customHeight="1" spans="2:9">
      <c r="B35" s="5" t="s">
        <v>634</v>
      </c>
      <c r="C35" s="24"/>
      <c r="D35" s="24"/>
      <c r="E35" s="24"/>
      <c r="F35" s="24"/>
      <c r="G35" s="24"/>
      <c r="H35" s="24"/>
      <c r="I35" s="25"/>
    </row>
    <row r="36" ht="28" customHeight="1" spans="2:9">
      <c r="B36" s="6" t="s">
        <v>269</v>
      </c>
      <c r="C36" s="6" t="s">
        <v>270</v>
      </c>
      <c r="D36" s="24"/>
      <c r="E36" s="25"/>
      <c r="F36" s="6" t="s">
        <v>271</v>
      </c>
      <c r="G36" s="6" t="s">
        <v>272</v>
      </c>
      <c r="H36" s="24"/>
      <c r="I36" s="25"/>
    </row>
    <row r="37" ht="32" customHeight="1" spans="2:9">
      <c r="B37" s="8" t="s">
        <v>830</v>
      </c>
      <c r="C37" s="7" t="s">
        <v>831</v>
      </c>
      <c r="D37" s="24"/>
      <c r="E37" s="25"/>
      <c r="F37" s="43" t="s">
        <v>832</v>
      </c>
      <c r="G37" s="7" t="s">
        <v>833</v>
      </c>
      <c r="H37" s="24"/>
      <c r="I37" s="25"/>
    </row>
    <row r="38" ht="32" customHeight="1" spans="2:9">
      <c r="B38" s="20" t="s">
        <v>834</v>
      </c>
      <c r="C38" s="9" t="s">
        <v>835</v>
      </c>
      <c r="D38" s="24"/>
      <c r="E38" s="25"/>
      <c r="F38" s="20" t="s">
        <v>836</v>
      </c>
      <c r="G38" s="9" t="s">
        <v>837</v>
      </c>
      <c r="H38" s="24"/>
      <c r="I38" s="25"/>
    </row>
    <row r="39" ht="32" customHeight="1" spans="2:9">
      <c r="B39" s="8" t="s">
        <v>838</v>
      </c>
      <c r="C39" s="7" t="s">
        <v>839</v>
      </c>
      <c r="D39" s="24"/>
      <c r="E39" s="25"/>
      <c r="F39" s="43" t="s">
        <v>840</v>
      </c>
      <c r="G39" s="7" t="s">
        <v>841</v>
      </c>
      <c r="H39" s="24"/>
      <c r="I39" s="25"/>
    </row>
    <row r="40" ht="32" customHeight="1" spans="2:9">
      <c r="B40" s="20" t="s">
        <v>842</v>
      </c>
      <c r="C40" s="9" t="s">
        <v>843</v>
      </c>
      <c r="D40" s="24"/>
      <c r="E40" s="25"/>
      <c r="F40" s="20" t="s">
        <v>844</v>
      </c>
      <c r="G40" s="9" t="s">
        <v>845</v>
      </c>
      <c r="H40" s="24"/>
      <c r="I40" s="25"/>
    </row>
    <row r="42" ht="24" customHeight="1" spans="2:9">
      <c r="B42" s="5" t="s">
        <v>289</v>
      </c>
      <c r="C42" s="24"/>
      <c r="D42" s="24"/>
      <c r="E42" s="24"/>
      <c r="F42" s="24"/>
      <c r="G42" s="24"/>
      <c r="H42" s="24"/>
      <c r="I42" s="25"/>
    </row>
    <row r="43" ht="28" customHeight="1" spans="2:9">
      <c r="B43" s="6" t="s">
        <v>290</v>
      </c>
      <c r="C43" s="6" t="s">
        <v>465</v>
      </c>
      <c r="D43" s="24"/>
      <c r="E43" s="24"/>
      <c r="F43" s="25"/>
      <c r="G43" s="6" t="s">
        <v>292</v>
      </c>
      <c r="H43" s="24"/>
      <c r="I43" s="25"/>
    </row>
    <row r="44" ht="24" customHeight="1" spans="2:9">
      <c r="B44" s="3" t="s">
        <v>293</v>
      </c>
      <c r="C44" s="7" t="s">
        <v>846</v>
      </c>
      <c r="D44" s="24"/>
      <c r="E44" s="24"/>
      <c r="F44" s="25"/>
      <c r="G44" s="8" t="s">
        <v>295</v>
      </c>
      <c r="H44" s="24"/>
      <c r="I44" s="25"/>
    </row>
    <row r="45" ht="24" customHeight="1" spans="2:9">
      <c r="B45" s="20" t="s">
        <v>296</v>
      </c>
      <c r="C45" s="9" t="s">
        <v>788</v>
      </c>
      <c r="D45" s="24"/>
      <c r="E45" s="24"/>
      <c r="F45" s="25"/>
      <c r="G45" s="20" t="s">
        <v>295</v>
      </c>
      <c r="H45" s="24"/>
      <c r="I45" s="25"/>
    </row>
    <row r="46" ht="24" customHeight="1" spans="2:9">
      <c r="B46" s="3" t="s">
        <v>300</v>
      </c>
      <c r="C46" s="7" t="s">
        <v>847</v>
      </c>
      <c r="D46" s="24"/>
      <c r="E46" s="24"/>
      <c r="F46" s="25"/>
      <c r="G46" s="8" t="s">
        <v>295</v>
      </c>
      <c r="H46" s="24"/>
      <c r="I46" s="25"/>
    </row>
    <row r="47" ht="24" customHeight="1" spans="2:9">
      <c r="B47" s="20" t="s">
        <v>298</v>
      </c>
      <c r="C47" s="9" t="s">
        <v>848</v>
      </c>
      <c r="D47" s="24"/>
      <c r="E47" s="24"/>
      <c r="F47" s="25"/>
      <c r="G47" s="20" t="s">
        <v>295</v>
      </c>
      <c r="H47" s="24"/>
      <c r="I47" s="25"/>
    </row>
    <row r="48" ht="24" customHeight="1" spans="2:9">
      <c r="B48" s="3" t="s">
        <v>305</v>
      </c>
      <c r="C48" s="7" t="s">
        <v>849</v>
      </c>
      <c r="D48" s="24"/>
      <c r="E48" s="24"/>
      <c r="F48" s="25"/>
      <c r="G48" s="8" t="s">
        <v>295</v>
      </c>
      <c r="H48" s="24"/>
      <c r="I48" s="25"/>
    </row>
    <row r="49" ht="24" customHeight="1" spans="2:9">
      <c r="B49" s="20" t="s">
        <v>302</v>
      </c>
      <c r="C49" s="9" t="s">
        <v>850</v>
      </c>
      <c r="D49" s="24"/>
      <c r="E49" s="24"/>
      <c r="F49" s="25"/>
      <c r="G49" s="20" t="s">
        <v>295</v>
      </c>
      <c r="H49" s="24"/>
      <c r="I49" s="25"/>
    </row>
    <row r="50" ht="24" customHeight="1" spans="2:9">
      <c r="B50" s="3" t="s">
        <v>313</v>
      </c>
      <c r="C50" s="7" t="s">
        <v>848</v>
      </c>
      <c r="D50" s="24"/>
      <c r="E50" s="24"/>
      <c r="F50" s="25"/>
      <c r="G50" s="8" t="s">
        <v>307</v>
      </c>
      <c r="H50" s="24"/>
      <c r="I50" s="25"/>
    </row>
    <row r="51" ht="24" customHeight="1" spans="2:9">
      <c r="B51" s="20" t="s">
        <v>311</v>
      </c>
      <c r="C51" s="9" t="s">
        <v>851</v>
      </c>
      <c r="D51" s="24"/>
      <c r="E51" s="24"/>
      <c r="F51" s="25"/>
      <c r="G51" s="20" t="s">
        <v>474</v>
      </c>
      <c r="H51" s="24"/>
      <c r="I51" s="25"/>
    </row>
    <row r="52" ht="24" customHeight="1" spans="2:9">
      <c r="B52" s="3" t="s">
        <v>308</v>
      </c>
      <c r="C52" s="7" t="s">
        <v>852</v>
      </c>
      <c r="D52" s="24"/>
      <c r="E52" s="24"/>
      <c r="F52" s="25"/>
      <c r="G52" s="8" t="s">
        <v>295</v>
      </c>
      <c r="H52" s="24"/>
      <c r="I52" s="25"/>
    </row>
    <row r="53" ht="24" customHeight="1" spans="2:9">
      <c r="B53" s="20" t="s">
        <v>315</v>
      </c>
      <c r="C53" s="9" t="s">
        <v>853</v>
      </c>
      <c r="D53" s="24"/>
      <c r="E53" s="24"/>
      <c r="F53" s="25"/>
      <c r="G53" s="20" t="s">
        <v>307</v>
      </c>
      <c r="H53" s="24"/>
      <c r="I53" s="25"/>
    </row>
    <row r="55" ht="24" customHeight="1" spans="2:9">
      <c r="B55" s="5" t="s">
        <v>854</v>
      </c>
      <c r="C55" s="24"/>
      <c r="D55" s="24"/>
      <c r="E55" s="24"/>
      <c r="F55" s="24"/>
      <c r="G55" s="24"/>
      <c r="H55" s="24"/>
      <c r="I55" s="25"/>
    </row>
    <row r="56" ht="28" customHeight="1" spans="2:9">
      <c r="B56" s="6" t="s">
        <v>184</v>
      </c>
      <c r="C56" s="6" t="s">
        <v>18</v>
      </c>
      <c r="D56" s="24"/>
      <c r="E56" s="24"/>
      <c r="F56" s="24"/>
      <c r="G56" s="24"/>
      <c r="H56" s="24"/>
      <c r="I56" s="25"/>
    </row>
    <row r="57" ht="26" customHeight="1" spans="2:9">
      <c r="B57" s="3" t="s">
        <v>855</v>
      </c>
      <c r="C57" s="7" t="s">
        <v>856</v>
      </c>
      <c r="D57" s="24"/>
      <c r="E57" s="24"/>
      <c r="F57" s="24"/>
      <c r="G57" s="24"/>
      <c r="H57" s="24"/>
      <c r="I57" s="25"/>
    </row>
    <row r="58" ht="26" customHeight="1" spans="2:9">
      <c r="B58" s="20" t="s">
        <v>857</v>
      </c>
      <c r="C58" s="9" t="s">
        <v>858</v>
      </c>
      <c r="D58" s="24"/>
      <c r="E58" s="24"/>
      <c r="F58" s="24"/>
      <c r="G58" s="24"/>
      <c r="H58" s="24"/>
      <c r="I58" s="25"/>
    </row>
    <row r="59" ht="26" customHeight="1" spans="2:9">
      <c r="B59" s="3" t="s">
        <v>83</v>
      </c>
      <c r="C59" s="7" t="s">
        <v>859</v>
      </c>
      <c r="D59" s="24"/>
      <c r="E59" s="24"/>
      <c r="F59" s="24"/>
      <c r="G59" s="24"/>
      <c r="H59" s="24"/>
      <c r="I59" s="25"/>
    </row>
    <row r="60" ht="26" customHeight="1" spans="2:9">
      <c r="B60" s="20" t="s">
        <v>860</v>
      </c>
      <c r="C60" s="9" t="s">
        <v>861</v>
      </c>
      <c r="D60" s="24"/>
      <c r="E60" s="24"/>
      <c r="F60" s="24"/>
      <c r="G60" s="24"/>
      <c r="H60" s="24"/>
      <c r="I60" s="25"/>
    </row>
  </sheetData>
  <mergeCells count="86">
    <mergeCell ref="B6:I6"/>
    <mergeCell ref="H7:I7"/>
    <mergeCell ref="B9:I9"/>
    <mergeCell ref="B11:I11"/>
    <mergeCell ref="C12:F12"/>
    <mergeCell ref="G12:I12"/>
    <mergeCell ref="C13:F13"/>
    <mergeCell ref="G13:I13"/>
    <mergeCell ref="C14:F14"/>
    <mergeCell ref="G14:I14"/>
    <mergeCell ref="C15:F15"/>
    <mergeCell ref="G15:I15"/>
    <mergeCell ref="C16:F16"/>
    <mergeCell ref="G16:I16"/>
    <mergeCell ref="C17:F17"/>
    <mergeCell ref="G17:I17"/>
    <mergeCell ref="B19:I19"/>
    <mergeCell ref="C20:E20"/>
    <mergeCell ref="F20:G20"/>
    <mergeCell ref="H20:I20"/>
    <mergeCell ref="C21:E21"/>
    <mergeCell ref="F21:G21"/>
    <mergeCell ref="H21:I21"/>
    <mergeCell ref="C22:E22"/>
    <mergeCell ref="F22:G22"/>
    <mergeCell ref="H22:I22"/>
    <mergeCell ref="C23:E23"/>
    <mergeCell ref="F23:G23"/>
    <mergeCell ref="H23:I23"/>
    <mergeCell ref="C24:E24"/>
    <mergeCell ref="F24:G24"/>
    <mergeCell ref="H24:I24"/>
    <mergeCell ref="B26:I26"/>
    <mergeCell ref="C27:E27"/>
    <mergeCell ref="C28:E28"/>
    <mergeCell ref="H28:I28"/>
    <mergeCell ref="C29:E29"/>
    <mergeCell ref="H29:I29"/>
    <mergeCell ref="C30:E30"/>
    <mergeCell ref="H30:I30"/>
    <mergeCell ref="C31:E31"/>
    <mergeCell ref="H31:I31"/>
    <mergeCell ref="C32:E32"/>
    <mergeCell ref="H32:I32"/>
    <mergeCell ref="C33:E33"/>
    <mergeCell ref="H33:I33"/>
    <mergeCell ref="B35:I35"/>
    <mergeCell ref="C36:E36"/>
    <mergeCell ref="G36:I36"/>
    <mergeCell ref="C37:E37"/>
    <mergeCell ref="G37:I37"/>
    <mergeCell ref="C38:E38"/>
    <mergeCell ref="G38:I38"/>
    <mergeCell ref="C39:E39"/>
    <mergeCell ref="G39:I39"/>
    <mergeCell ref="C40:E40"/>
    <mergeCell ref="G40:I40"/>
    <mergeCell ref="B42:I42"/>
    <mergeCell ref="C43:F43"/>
    <mergeCell ref="G43:I43"/>
    <mergeCell ref="C44:F44"/>
    <mergeCell ref="G44:I44"/>
    <mergeCell ref="C45:F45"/>
    <mergeCell ref="G45:I45"/>
    <mergeCell ref="C46:F46"/>
    <mergeCell ref="G46:I46"/>
    <mergeCell ref="C47:F47"/>
    <mergeCell ref="G47:I47"/>
    <mergeCell ref="C48:F48"/>
    <mergeCell ref="G48:I48"/>
    <mergeCell ref="C49:F49"/>
    <mergeCell ref="G49:I49"/>
    <mergeCell ref="C50:F50"/>
    <mergeCell ref="G50:I50"/>
    <mergeCell ref="C51:F51"/>
    <mergeCell ref="G51:I51"/>
    <mergeCell ref="C52:F52"/>
    <mergeCell ref="G52:I52"/>
    <mergeCell ref="C53:F53"/>
    <mergeCell ref="G53:I53"/>
    <mergeCell ref="B55:I55"/>
    <mergeCell ref="C56:I56"/>
    <mergeCell ref="C57:I57"/>
    <mergeCell ref="C58:I58"/>
    <mergeCell ref="C59:I59"/>
    <mergeCell ref="C60:I60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40"/>
  <sheetViews>
    <sheetView showGridLines="0" workbookViewId="0">
      <selection activeCell="A1" sqref="A1"/>
    </sheetView>
  </sheetViews>
  <sheetFormatPr defaultColWidth="9" defaultRowHeight="14"/>
  <cols>
    <col min="1" max="1" width="2" customWidth="1"/>
    <col min="2" max="2" width="16" customWidth="1"/>
    <col min="3" max="3" width="22" customWidth="1"/>
    <col min="4" max="14" width="14" customWidth="1"/>
  </cols>
  <sheetData>
    <row r="2" ht="32" customHeight="1" spans="2:13">
      <c r="B2" s="1" t="s">
        <v>52</v>
      </c>
    </row>
    <row r="3" spans="2:13">
      <c r="B3" s="2" t="s">
        <v>862</v>
      </c>
    </row>
    <row r="4" ht="26" spans="2:13">
      <c r="B4" s="3" t="s">
        <v>72</v>
      </c>
      <c r="C4" s="4" t="s">
        <v>73</v>
      </c>
      <c r="D4" s="3" t="s">
        <v>74</v>
      </c>
      <c r="E4" s="4" t="s">
        <v>75</v>
      </c>
      <c r="F4" s="3" t="s">
        <v>76</v>
      </c>
      <c r="G4" s="4" t="s">
        <v>77</v>
      </c>
      <c r="H4" s="3" t="s">
        <v>78</v>
      </c>
      <c r="I4" s="4" t="s">
        <v>79</v>
      </c>
    </row>
    <row r="6" ht="24" customHeight="1" spans="2:13">
      <c r="B6" s="5" t="s">
        <v>863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5"/>
    </row>
    <row r="7" ht="28" customHeight="1" spans="2:13">
      <c r="B7" s="6" t="s">
        <v>290</v>
      </c>
      <c r="C7" s="6" t="s">
        <v>864</v>
      </c>
      <c r="D7" s="6" t="s">
        <v>865</v>
      </c>
      <c r="E7" s="6" t="s">
        <v>866</v>
      </c>
      <c r="F7" s="6" t="s">
        <v>867</v>
      </c>
      <c r="G7" s="6" t="s">
        <v>868</v>
      </c>
      <c r="H7" s="6" t="s">
        <v>869</v>
      </c>
      <c r="I7" s="6" t="s">
        <v>870</v>
      </c>
      <c r="J7" s="6" t="s">
        <v>871</v>
      </c>
      <c r="K7" s="6" t="s">
        <v>872</v>
      </c>
      <c r="L7" s="6" t="s">
        <v>873</v>
      </c>
    </row>
    <row r="8" ht="50" customHeight="1" spans="2:13">
      <c r="B8" s="3" t="s">
        <v>293</v>
      </c>
      <c r="C8" s="7" t="s">
        <v>874</v>
      </c>
      <c r="D8" s="7" t="s">
        <v>875</v>
      </c>
      <c r="E8" s="7" t="s">
        <v>876</v>
      </c>
      <c r="F8" s="35">
        <v>35000</v>
      </c>
      <c r="G8" s="7" t="s">
        <v>877</v>
      </c>
      <c r="H8" s="7" t="s">
        <v>878</v>
      </c>
      <c r="I8" s="7" t="s">
        <v>879</v>
      </c>
      <c r="J8" s="7" t="s">
        <v>880</v>
      </c>
      <c r="K8" s="8" t="s">
        <v>881</v>
      </c>
      <c r="L8" s="8" t="s">
        <v>882</v>
      </c>
    </row>
    <row r="9" ht="50" customHeight="1" spans="2:13">
      <c r="B9" s="3" t="s">
        <v>296</v>
      </c>
      <c r="C9" s="9" t="s">
        <v>883</v>
      </c>
      <c r="D9" s="9" t="s">
        <v>875</v>
      </c>
      <c r="E9" s="9" t="s">
        <v>884</v>
      </c>
      <c r="F9" s="36">
        <v>9000</v>
      </c>
      <c r="G9" s="9" t="s">
        <v>885</v>
      </c>
      <c r="H9" s="9" t="s">
        <v>886</v>
      </c>
      <c r="I9" s="9" t="s">
        <v>887</v>
      </c>
      <c r="J9" s="9" t="s">
        <v>888</v>
      </c>
      <c r="K9" s="8" t="s">
        <v>568</v>
      </c>
      <c r="L9" s="8" t="s">
        <v>882</v>
      </c>
    </row>
    <row r="10" ht="50" customHeight="1" spans="2:13">
      <c r="B10" s="3" t="s">
        <v>889</v>
      </c>
      <c r="C10" s="7" t="s">
        <v>890</v>
      </c>
      <c r="D10" s="7" t="s">
        <v>875</v>
      </c>
      <c r="E10" s="7" t="s">
        <v>891</v>
      </c>
      <c r="F10" s="35">
        <v>10000</v>
      </c>
      <c r="G10" s="7" t="s">
        <v>892</v>
      </c>
      <c r="H10" s="7" t="s">
        <v>893</v>
      </c>
      <c r="I10" s="7" t="s">
        <v>894</v>
      </c>
      <c r="J10" s="7" t="s">
        <v>895</v>
      </c>
      <c r="K10" s="8" t="s">
        <v>881</v>
      </c>
      <c r="L10" s="8" t="s">
        <v>882</v>
      </c>
    </row>
    <row r="11" ht="50" customHeight="1" spans="2:13">
      <c r="B11" s="3" t="s">
        <v>298</v>
      </c>
      <c r="C11" s="9" t="s">
        <v>896</v>
      </c>
      <c r="D11" s="9" t="s">
        <v>875</v>
      </c>
      <c r="E11" s="9" t="s">
        <v>897</v>
      </c>
      <c r="F11" s="36">
        <v>5500</v>
      </c>
      <c r="G11" s="9" t="s">
        <v>877</v>
      </c>
      <c r="H11" s="9" t="s">
        <v>898</v>
      </c>
      <c r="I11" s="9" t="s">
        <v>899</v>
      </c>
      <c r="J11" s="9" t="s">
        <v>900</v>
      </c>
      <c r="K11" s="8" t="s">
        <v>881</v>
      </c>
      <c r="L11" s="8" t="s">
        <v>882</v>
      </c>
    </row>
    <row r="12" ht="50" customHeight="1" spans="2:13">
      <c r="B12" s="3" t="s">
        <v>300</v>
      </c>
      <c r="C12" s="7" t="s">
        <v>901</v>
      </c>
      <c r="D12" s="7" t="s">
        <v>875</v>
      </c>
      <c r="E12" s="7" t="s">
        <v>902</v>
      </c>
      <c r="F12" s="35">
        <v>13000</v>
      </c>
      <c r="G12" s="7" t="s">
        <v>877</v>
      </c>
      <c r="H12" s="7" t="s">
        <v>903</v>
      </c>
      <c r="I12" s="7" t="s">
        <v>904</v>
      </c>
      <c r="J12" s="7" t="s">
        <v>905</v>
      </c>
      <c r="K12" s="8" t="s">
        <v>568</v>
      </c>
      <c r="L12" s="8" t="s">
        <v>882</v>
      </c>
    </row>
    <row r="13" ht="50" customHeight="1" spans="2:13">
      <c r="B13" s="3" t="s">
        <v>302</v>
      </c>
      <c r="C13" s="9" t="s">
        <v>906</v>
      </c>
      <c r="D13" s="9" t="s">
        <v>875</v>
      </c>
      <c r="E13" s="9" t="s">
        <v>902</v>
      </c>
      <c r="F13" s="36">
        <v>35000</v>
      </c>
      <c r="G13" s="9" t="s">
        <v>877</v>
      </c>
      <c r="H13" s="9" t="s">
        <v>907</v>
      </c>
      <c r="I13" s="9" t="s">
        <v>908</v>
      </c>
      <c r="J13" s="9" t="s">
        <v>909</v>
      </c>
      <c r="K13" s="8" t="s">
        <v>568</v>
      </c>
      <c r="L13" s="8" t="s">
        <v>882</v>
      </c>
    </row>
    <row r="14" ht="50" customHeight="1" spans="2:13">
      <c r="B14" s="3" t="s">
        <v>311</v>
      </c>
      <c r="C14" s="7" t="s">
        <v>883</v>
      </c>
      <c r="D14" s="7" t="s">
        <v>910</v>
      </c>
      <c r="E14" s="7" t="s">
        <v>911</v>
      </c>
      <c r="F14" s="35">
        <v>12000</v>
      </c>
      <c r="G14" s="7" t="s">
        <v>912</v>
      </c>
      <c r="H14" s="7" t="s">
        <v>913</v>
      </c>
      <c r="I14" s="7" t="s">
        <v>914</v>
      </c>
      <c r="J14" s="7" t="s">
        <v>915</v>
      </c>
      <c r="K14" s="8" t="s">
        <v>916</v>
      </c>
      <c r="L14" s="8" t="s">
        <v>917</v>
      </c>
    </row>
    <row r="15" ht="50" customHeight="1" spans="2:13">
      <c r="B15" s="3" t="s">
        <v>313</v>
      </c>
      <c r="C15" s="9" t="s">
        <v>918</v>
      </c>
      <c r="D15" s="9" t="s">
        <v>875</v>
      </c>
      <c r="E15" s="9" t="s">
        <v>919</v>
      </c>
      <c r="F15" s="36">
        <v>4000</v>
      </c>
      <c r="G15" s="9" t="s">
        <v>877</v>
      </c>
      <c r="H15" s="9" t="s">
        <v>920</v>
      </c>
      <c r="I15" s="9" t="s">
        <v>921</v>
      </c>
      <c r="J15" s="9" t="s">
        <v>922</v>
      </c>
      <c r="K15" s="8" t="s">
        <v>881</v>
      </c>
      <c r="L15" s="8" t="s">
        <v>923</v>
      </c>
    </row>
    <row r="16" ht="50" customHeight="1" spans="2:13">
      <c r="B16" s="3" t="s">
        <v>308</v>
      </c>
      <c r="C16" s="7" t="s">
        <v>924</v>
      </c>
      <c r="D16" s="7" t="s">
        <v>875</v>
      </c>
      <c r="E16" s="7" t="s">
        <v>925</v>
      </c>
      <c r="F16" s="35">
        <v>20000</v>
      </c>
      <c r="G16" s="7" t="s">
        <v>877</v>
      </c>
      <c r="H16" s="7" t="s">
        <v>926</v>
      </c>
      <c r="I16" s="7" t="s">
        <v>927</v>
      </c>
      <c r="J16" s="7" t="s">
        <v>928</v>
      </c>
      <c r="K16" s="8" t="s">
        <v>568</v>
      </c>
      <c r="L16" s="8" t="s">
        <v>882</v>
      </c>
    </row>
    <row r="17" ht="50" customHeight="1" spans="2:12">
      <c r="B17" s="3" t="s">
        <v>315</v>
      </c>
      <c r="C17" s="9" t="s">
        <v>929</v>
      </c>
      <c r="D17" s="9" t="s">
        <v>875</v>
      </c>
      <c r="E17" s="9" t="s">
        <v>876</v>
      </c>
      <c r="F17" s="36">
        <v>11000</v>
      </c>
      <c r="G17" s="9" t="s">
        <v>930</v>
      </c>
      <c r="H17" s="9" t="s">
        <v>907</v>
      </c>
      <c r="I17" s="9" t="s">
        <v>931</v>
      </c>
      <c r="J17" s="9" t="s">
        <v>932</v>
      </c>
      <c r="K17" s="8" t="s">
        <v>881</v>
      </c>
      <c r="L17" s="8" t="s">
        <v>307</v>
      </c>
    </row>
    <row r="19" ht="24" customHeight="1" spans="2:12">
      <c r="B19" s="5" t="s">
        <v>933</v>
      </c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ht="28" customHeight="1" spans="2:12">
      <c r="B20" s="6" t="s">
        <v>934</v>
      </c>
      <c r="C20" s="6" t="s">
        <v>290</v>
      </c>
      <c r="D20" s="6" t="s">
        <v>935</v>
      </c>
      <c r="E20" s="6" t="s">
        <v>936</v>
      </c>
      <c r="F20" s="6" t="s">
        <v>937</v>
      </c>
      <c r="G20" s="24"/>
      <c r="H20" s="24"/>
      <c r="I20" s="24"/>
      <c r="J20" s="24"/>
      <c r="K20" s="24"/>
      <c r="L20" s="25"/>
    </row>
    <row r="21" ht="22" customHeight="1" spans="2:12">
      <c r="B21" s="15">
        <v>1</v>
      </c>
      <c r="C21" s="3" t="s">
        <v>293</v>
      </c>
      <c r="D21" s="35">
        <v>35000</v>
      </c>
      <c r="E21" s="37">
        <v>0.226537216828479</v>
      </c>
      <c r="F21" s="37">
        <f>E21</f>
        <v>0.226537216828479</v>
      </c>
      <c r="G21" s="24"/>
      <c r="H21" s="24"/>
      <c r="I21" s="24"/>
      <c r="J21" s="24"/>
      <c r="K21" s="24"/>
      <c r="L21" s="25"/>
    </row>
    <row r="22" ht="22" customHeight="1" spans="2:12">
      <c r="B22" s="20">
        <v>2</v>
      </c>
      <c r="C22" s="3" t="s">
        <v>302</v>
      </c>
      <c r="D22" s="36">
        <v>35000</v>
      </c>
      <c r="E22" s="38">
        <v>0.226537216828479</v>
      </c>
      <c r="F22" s="38">
        <f t="shared" ref="F22:F30" si="0">F21+E22</f>
        <v>0.453074433656958</v>
      </c>
      <c r="G22" s="24"/>
      <c r="H22" s="24"/>
      <c r="I22" s="24"/>
      <c r="J22" s="24"/>
      <c r="K22" s="24"/>
      <c r="L22" s="25"/>
    </row>
    <row r="23" ht="22" customHeight="1" spans="2:12">
      <c r="B23" s="15">
        <v>3</v>
      </c>
      <c r="C23" s="3" t="s">
        <v>308</v>
      </c>
      <c r="D23" s="35">
        <v>20000</v>
      </c>
      <c r="E23" s="37">
        <v>0.129449838187702</v>
      </c>
      <c r="F23" s="37">
        <f t="shared" si="0"/>
        <v>0.58252427184466</v>
      </c>
      <c r="G23" s="24"/>
      <c r="H23" s="24"/>
      <c r="I23" s="24"/>
      <c r="J23" s="24"/>
      <c r="K23" s="24"/>
      <c r="L23" s="25"/>
    </row>
    <row r="24" ht="22" customHeight="1" spans="2:12">
      <c r="B24" s="20">
        <v>4</v>
      </c>
      <c r="C24" s="3" t="s">
        <v>300</v>
      </c>
      <c r="D24" s="36">
        <v>13000</v>
      </c>
      <c r="E24" s="38">
        <v>0.0841423948220065</v>
      </c>
      <c r="F24" s="38">
        <f t="shared" si="0"/>
        <v>0.666666666666667</v>
      </c>
      <c r="G24" s="24"/>
      <c r="H24" s="24"/>
      <c r="I24" s="24"/>
      <c r="J24" s="24"/>
      <c r="K24" s="24"/>
      <c r="L24" s="25"/>
    </row>
    <row r="25" ht="22" customHeight="1" spans="2:12">
      <c r="B25" s="15">
        <v>5</v>
      </c>
      <c r="C25" s="3" t="s">
        <v>311</v>
      </c>
      <c r="D25" s="35">
        <v>12000</v>
      </c>
      <c r="E25" s="37">
        <v>0.0776699029126214</v>
      </c>
      <c r="F25" s="37">
        <f t="shared" si="0"/>
        <v>0.744336569579288</v>
      </c>
      <c r="G25" s="24"/>
      <c r="H25" s="24"/>
      <c r="I25" s="24"/>
      <c r="J25" s="24"/>
      <c r="K25" s="24"/>
      <c r="L25" s="25"/>
    </row>
    <row r="26" ht="22" customHeight="1" spans="2:12">
      <c r="B26" s="20">
        <v>6</v>
      </c>
      <c r="C26" s="3" t="s">
        <v>315</v>
      </c>
      <c r="D26" s="36">
        <v>11000</v>
      </c>
      <c r="E26" s="38">
        <v>0.0711974110032362</v>
      </c>
      <c r="F26" s="38">
        <f t="shared" si="0"/>
        <v>0.815533980582524</v>
      </c>
      <c r="G26" s="24"/>
      <c r="H26" s="24"/>
      <c r="I26" s="24"/>
      <c r="J26" s="24"/>
      <c r="K26" s="24"/>
      <c r="L26" s="25"/>
    </row>
    <row r="27" ht="22" customHeight="1" spans="2:12">
      <c r="B27" s="15">
        <v>7</v>
      </c>
      <c r="C27" s="3" t="s">
        <v>889</v>
      </c>
      <c r="D27" s="35">
        <v>10000</v>
      </c>
      <c r="E27" s="37">
        <v>0.0647249190938511</v>
      </c>
      <c r="F27" s="37">
        <f t="shared" si="0"/>
        <v>0.880258899676375</v>
      </c>
      <c r="G27" s="24"/>
      <c r="H27" s="24"/>
      <c r="I27" s="24"/>
      <c r="J27" s="24"/>
      <c r="K27" s="24"/>
      <c r="L27" s="25"/>
    </row>
    <row r="28" ht="22" customHeight="1" spans="2:12">
      <c r="B28" s="20">
        <v>8</v>
      </c>
      <c r="C28" s="3" t="s">
        <v>296</v>
      </c>
      <c r="D28" s="36">
        <v>9000</v>
      </c>
      <c r="E28" s="38">
        <v>0.058252427184466</v>
      </c>
      <c r="F28" s="38">
        <f t="shared" si="0"/>
        <v>0.938511326860841</v>
      </c>
      <c r="G28" s="24"/>
      <c r="H28" s="24"/>
      <c r="I28" s="24"/>
      <c r="J28" s="24"/>
      <c r="K28" s="24"/>
      <c r="L28" s="25"/>
    </row>
    <row r="29" ht="22" customHeight="1" spans="2:12">
      <c r="B29" s="15">
        <v>9</v>
      </c>
      <c r="C29" s="3" t="s">
        <v>298</v>
      </c>
      <c r="D29" s="35">
        <v>5500</v>
      </c>
      <c r="E29" s="37">
        <v>0.0355987055016181</v>
      </c>
      <c r="F29" s="37">
        <f t="shared" si="0"/>
        <v>0.97411003236246</v>
      </c>
      <c r="G29" s="24"/>
      <c r="H29" s="24"/>
      <c r="I29" s="24"/>
      <c r="J29" s="24"/>
      <c r="K29" s="24"/>
      <c r="L29" s="25"/>
    </row>
    <row r="30" ht="22" customHeight="1" spans="2:12">
      <c r="B30" s="20">
        <v>10</v>
      </c>
      <c r="C30" s="3" t="s">
        <v>313</v>
      </c>
      <c r="D30" s="36">
        <v>4000</v>
      </c>
      <c r="E30" s="38">
        <v>0.0258899676375405</v>
      </c>
      <c r="F30" s="38">
        <f t="shared" si="0"/>
        <v>1</v>
      </c>
      <c r="G30" s="24"/>
      <c r="H30" s="24"/>
      <c r="I30" s="24"/>
      <c r="J30" s="24"/>
      <c r="K30" s="24"/>
      <c r="L30" s="25"/>
    </row>
    <row r="32" ht="24" customHeight="1" spans="2:12">
      <c r="B32" s="5" t="s">
        <v>938</v>
      </c>
      <c r="C32" s="24"/>
      <c r="D32" s="24"/>
      <c r="E32" s="24"/>
      <c r="F32" s="24"/>
      <c r="G32" s="24"/>
      <c r="H32" s="24"/>
      <c r="I32" s="24"/>
      <c r="J32" s="24"/>
      <c r="K32" s="24"/>
      <c r="L32" s="25"/>
    </row>
    <row r="33" ht="22" customHeight="1" spans="2:12">
      <c r="B33" s="8" t="s">
        <v>939</v>
      </c>
      <c r="C33" s="7" t="s">
        <v>940</v>
      </c>
      <c r="D33" s="24"/>
      <c r="E33" s="24"/>
      <c r="F33" s="24"/>
      <c r="G33" s="24"/>
      <c r="H33" s="24"/>
      <c r="I33" s="24"/>
      <c r="J33" s="24"/>
      <c r="K33" s="24"/>
      <c r="L33" s="25"/>
    </row>
    <row r="34" ht="22" customHeight="1" spans="2:12">
      <c r="B34" s="8" t="s">
        <v>941</v>
      </c>
      <c r="C34" s="7" t="s">
        <v>942</v>
      </c>
      <c r="D34" s="24"/>
      <c r="E34" s="24"/>
      <c r="F34" s="24"/>
      <c r="G34" s="24"/>
      <c r="H34" s="24"/>
      <c r="I34" s="24"/>
      <c r="J34" s="24"/>
      <c r="K34" s="24"/>
      <c r="L34" s="25"/>
    </row>
    <row r="35" ht="22" customHeight="1" spans="2:12">
      <c r="B35" s="8" t="s">
        <v>943</v>
      </c>
      <c r="C35" s="7" t="s">
        <v>944</v>
      </c>
      <c r="D35" s="24"/>
      <c r="E35" s="24"/>
      <c r="F35" s="24"/>
      <c r="G35" s="24"/>
      <c r="H35" s="24"/>
      <c r="I35" s="24"/>
      <c r="J35" s="24"/>
      <c r="K35" s="24"/>
      <c r="L35" s="25"/>
    </row>
    <row r="36" ht="22" customHeight="1" spans="2:12">
      <c r="B36" s="8" t="s">
        <v>945</v>
      </c>
      <c r="C36" s="7" t="s">
        <v>946</v>
      </c>
      <c r="D36" s="24"/>
      <c r="E36" s="24"/>
      <c r="F36" s="24"/>
      <c r="G36" s="24"/>
      <c r="H36" s="24"/>
      <c r="I36" s="24"/>
      <c r="J36" s="24"/>
      <c r="K36" s="24"/>
      <c r="L36" s="25"/>
    </row>
    <row r="37" ht="22" customHeight="1" spans="2:12">
      <c r="B37" s="8" t="s">
        <v>947</v>
      </c>
      <c r="C37" s="7" t="s">
        <v>948</v>
      </c>
      <c r="D37" s="24"/>
      <c r="E37" s="24"/>
      <c r="F37" s="24"/>
      <c r="G37" s="24"/>
      <c r="H37" s="24"/>
      <c r="I37" s="24"/>
      <c r="J37" s="24"/>
      <c r="K37" s="24"/>
      <c r="L37" s="25"/>
    </row>
    <row r="38" ht="22" customHeight="1" spans="2:12">
      <c r="B38" s="8" t="s">
        <v>949</v>
      </c>
      <c r="C38" s="7" t="s">
        <v>950</v>
      </c>
      <c r="D38" s="24"/>
      <c r="E38" s="24"/>
      <c r="F38" s="24"/>
      <c r="G38" s="24"/>
      <c r="H38" s="24"/>
      <c r="I38" s="24"/>
      <c r="J38" s="24"/>
      <c r="K38" s="24"/>
      <c r="L38" s="25"/>
    </row>
    <row r="39" ht="22" customHeight="1" spans="2:12">
      <c r="B39" s="8" t="s">
        <v>928</v>
      </c>
      <c r="C39" s="7" t="s">
        <v>308</v>
      </c>
      <c r="D39" s="24"/>
      <c r="E39" s="24"/>
      <c r="F39" s="24"/>
      <c r="G39" s="24"/>
      <c r="H39" s="24"/>
      <c r="I39" s="24"/>
      <c r="J39" s="24"/>
      <c r="K39" s="24"/>
      <c r="L39" s="25"/>
    </row>
    <row r="40" ht="22" customHeight="1" spans="2:12">
      <c r="B40" s="8" t="s">
        <v>951</v>
      </c>
      <c r="C40" s="7" t="s">
        <v>302</v>
      </c>
      <c r="D40" s="24"/>
      <c r="E40" s="24"/>
      <c r="F40" s="24"/>
      <c r="G40" s="24"/>
      <c r="H40" s="24"/>
      <c r="I40" s="24"/>
      <c r="J40" s="24"/>
      <c r="K40" s="24"/>
      <c r="L40" s="25"/>
    </row>
  </sheetData>
  <mergeCells count="22">
    <mergeCell ref="B6:M6"/>
    <mergeCell ref="B19:L19"/>
    <mergeCell ref="F20:L20"/>
    <mergeCell ref="F21:L21"/>
    <mergeCell ref="F22:L22"/>
    <mergeCell ref="F23:L23"/>
    <mergeCell ref="F24:L24"/>
    <mergeCell ref="F25:L25"/>
    <mergeCell ref="F26:L26"/>
    <mergeCell ref="F27:L27"/>
    <mergeCell ref="F28:L28"/>
    <mergeCell ref="F29:L29"/>
    <mergeCell ref="F30:L30"/>
    <mergeCell ref="B32:L32"/>
    <mergeCell ref="C33:L33"/>
    <mergeCell ref="C34:L34"/>
    <mergeCell ref="C35:L35"/>
    <mergeCell ref="C36:L36"/>
    <mergeCell ref="C37:L37"/>
    <mergeCell ref="C38:L38"/>
    <mergeCell ref="C39:L39"/>
    <mergeCell ref="C40:L40"/>
  </mergeCells>
  <conditionalFormatting sqref="G8:G17">
    <cfRule type="dataBar" priority="1">
      <dataBar>
        <cfvo type="min"/>
        <cfvo type="max"/>
        <color rgb="FFC4724A"/>
      </dataBar>
      <extLst>
        <ext xmlns:x14="http://schemas.microsoft.com/office/spreadsheetml/2009/9/main" uri="{B025F937-C7B1-47D3-B67F-A62EFF666E3E}">
          <x14:id>{86922e28-c912-4f25-9d73-74fbde507c12}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922e28-c912-4f25-9d73-74fbde507c1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G8:G17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40"/>
  <sheetViews>
    <sheetView showGridLines="0" workbookViewId="0">
      <selection activeCell="A1" sqref="A1"/>
    </sheetView>
  </sheetViews>
  <sheetFormatPr defaultColWidth="9" defaultRowHeight="14"/>
  <cols>
    <col min="1" max="1" width="2" customWidth="1"/>
    <col min="2" max="14" width="14" customWidth="1"/>
  </cols>
  <sheetData>
    <row r="2" ht="32" customHeight="1" spans="2:13">
      <c r="B2" s="1" t="s">
        <v>54</v>
      </c>
    </row>
    <row r="3" spans="2:13">
      <c r="B3" s="2" t="s">
        <v>952</v>
      </c>
    </row>
    <row r="4" ht="26" spans="2:13">
      <c r="B4" s="3" t="s">
        <v>72</v>
      </c>
      <c r="C4" s="4" t="s">
        <v>73</v>
      </c>
      <c r="D4" s="3" t="s">
        <v>74</v>
      </c>
      <c r="E4" s="4" t="s">
        <v>75</v>
      </c>
      <c r="F4" s="3" t="s">
        <v>76</v>
      </c>
      <c r="G4" s="4" t="s">
        <v>77</v>
      </c>
      <c r="H4" s="3" t="s">
        <v>78</v>
      </c>
      <c r="I4" s="4" t="s">
        <v>79</v>
      </c>
    </row>
    <row r="6" ht="24" customHeight="1" spans="2:13">
      <c r="B6" s="5" t="s">
        <v>953</v>
      </c>
      <c r="C6" s="24"/>
      <c r="D6" s="24"/>
      <c r="E6" s="24"/>
      <c r="F6" s="24"/>
      <c r="G6" s="24"/>
      <c r="H6" s="24"/>
      <c r="I6" s="24"/>
      <c r="J6" s="24"/>
      <c r="K6" s="24"/>
      <c r="L6" s="25"/>
    </row>
    <row r="7" ht="28" customHeight="1" spans="2:13">
      <c r="B7" s="6" t="s">
        <v>290</v>
      </c>
      <c r="C7" s="6" t="s">
        <v>954</v>
      </c>
      <c r="D7" s="6" t="s">
        <v>148</v>
      </c>
      <c r="E7" s="6" t="s">
        <v>955</v>
      </c>
      <c r="F7" s="6" t="s">
        <v>141</v>
      </c>
      <c r="G7" s="6" t="s">
        <v>144</v>
      </c>
      <c r="H7" s="6" t="s">
        <v>956</v>
      </c>
      <c r="I7" s="6" t="s">
        <v>957</v>
      </c>
      <c r="J7" s="6" t="s">
        <v>958</v>
      </c>
      <c r="K7" s="6" t="s">
        <v>959</v>
      </c>
      <c r="L7" s="6" t="s">
        <v>960</v>
      </c>
      <c r="M7" s="6" t="s">
        <v>961</v>
      </c>
    </row>
    <row r="8" ht="38" customHeight="1" spans="2:13">
      <c r="B8" s="3" t="s">
        <v>293</v>
      </c>
      <c r="C8" s="4" t="s">
        <v>962</v>
      </c>
      <c r="D8" s="4" t="s">
        <v>963</v>
      </c>
      <c r="E8" s="4" t="s">
        <v>964</v>
      </c>
      <c r="F8" s="4" t="s">
        <v>965</v>
      </c>
      <c r="G8" s="4" t="s">
        <v>966</v>
      </c>
      <c r="H8" s="4" t="s">
        <v>967</v>
      </c>
      <c r="I8" s="4" t="s">
        <v>968</v>
      </c>
      <c r="J8" s="4" t="s">
        <v>969</v>
      </c>
      <c r="K8" s="4" t="s">
        <v>970</v>
      </c>
      <c r="L8" s="4" t="s">
        <v>971</v>
      </c>
      <c r="M8" s="7" t="s">
        <v>972</v>
      </c>
    </row>
    <row r="9" ht="38" customHeight="1" spans="2:13">
      <c r="B9" s="3" t="s">
        <v>296</v>
      </c>
      <c r="C9" s="32" t="s">
        <v>973</v>
      </c>
      <c r="D9" s="32" t="s">
        <v>974</v>
      </c>
      <c r="E9" s="32" t="s">
        <v>975</v>
      </c>
      <c r="F9" s="32" t="s">
        <v>976</v>
      </c>
      <c r="G9" s="32" t="s">
        <v>977</v>
      </c>
      <c r="H9" s="32" t="s">
        <v>978</v>
      </c>
      <c r="I9" s="32" t="s">
        <v>979</v>
      </c>
      <c r="J9" s="32" t="s">
        <v>980</v>
      </c>
      <c r="K9" s="32" t="s">
        <v>981</v>
      </c>
      <c r="L9" s="32" t="s">
        <v>982</v>
      </c>
      <c r="M9" s="9" t="s">
        <v>983</v>
      </c>
    </row>
    <row r="10" ht="38" customHeight="1" spans="2:13">
      <c r="B10" s="3" t="s">
        <v>305</v>
      </c>
      <c r="C10" s="4" t="s">
        <v>984</v>
      </c>
      <c r="D10" s="4" t="s">
        <v>963</v>
      </c>
      <c r="E10" s="4" t="s">
        <v>985</v>
      </c>
      <c r="F10" s="4" t="s">
        <v>986</v>
      </c>
      <c r="G10" s="4" t="s">
        <v>987</v>
      </c>
      <c r="H10" s="4" t="s">
        <v>988</v>
      </c>
      <c r="I10" s="4" t="s">
        <v>989</v>
      </c>
      <c r="J10" s="4" t="s">
        <v>990</v>
      </c>
      <c r="K10" s="4" t="s">
        <v>991</v>
      </c>
      <c r="L10" s="4" t="s">
        <v>992</v>
      </c>
      <c r="M10" s="7" t="s">
        <v>993</v>
      </c>
    </row>
    <row r="11" ht="38" customHeight="1" spans="2:13">
      <c r="B11" s="3" t="s">
        <v>298</v>
      </c>
      <c r="C11" s="32" t="s">
        <v>994</v>
      </c>
      <c r="D11" s="32" t="s">
        <v>963</v>
      </c>
      <c r="E11" s="32" t="s">
        <v>985</v>
      </c>
      <c r="F11" s="32" t="s">
        <v>966</v>
      </c>
      <c r="G11" s="32" t="s">
        <v>966</v>
      </c>
      <c r="H11" s="32" t="s">
        <v>995</v>
      </c>
      <c r="I11" s="32" t="s">
        <v>989</v>
      </c>
      <c r="J11" s="32" t="s">
        <v>996</v>
      </c>
      <c r="K11" s="32" t="s">
        <v>997</v>
      </c>
      <c r="L11" s="32" t="s">
        <v>998</v>
      </c>
      <c r="M11" s="9" t="s">
        <v>999</v>
      </c>
    </row>
    <row r="12" ht="38" customHeight="1" spans="2:13">
      <c r="B12" s="3" t="s">
        <v>300</v>
      </c>
      <c r="C12" s="4" t="s">
        <v>1000</v>
      </c>
      <c r="D12" s="4" t="s">
        <v>963</v>
      </c>
      <c r="E12" s="4" t="s">
        <v>1001</v>
      </c>
      <c r="F12" s="4" t="s">
        <v>1002</v>
      </c>
      <c r="G12" s="4" t="s">
        <v>1003</v>
      </c>
      <c r="H12" s="4" t="s">
        <v>1004</v>
      </c>
      <c r="I12" s="4" t="s">
        <v>967</v>
      </c>
      <c r="J12" s="4" t="s">
        <v>1005</v>
      </c>
      <c r="K12" s="4" t="s">
        <v>1006</v>
      </c>
      <c r="L12" s="4" t="s">
        <v>1007</v>
      </c>
      <c r="M12" s="7" t="s">
        <v>1008</v>
      </c>
    </row>
    <row r="13" ht="38" customHeight="1" spans="2:13">
      <c r="B13" s="3" t="s">
        <v>302</v>
      </c>
      <c r="C13" s="32" t="s">
        <v>1009</v>
      </c>
      <c r="D13" s="32" t="s">
        <v>1010</v>
      </c>
      <c r="E13" s="32" t="s">
        <v>1011</v>
      </c>
      <c r="F13" s="32" t="s">
        <v>1011</v>
      </c>
      <c r="G13" s="32" t="s">
        <v>987</v>
      </c>
      <c r="H13" s="32" t="s">
        <v>1012</v>
      </c>
      <c r="I13" s="32" t="s">
        <v>1013</v>
      </c>
      <c r="J13" s="32" t="s">
        <v>1014</v>
      </c>
      <c r="K13" s="32" t="s">
        <v>1015</v>
      </c>
      <c r="L13" s="32" t="s">
        <v>1016</v>
      </c>
      <c r="M13" s="9" t="s">
        <v>1017</v>
      </c>
    </row>
    <row r="14" ht="38" customHeight="1" spans="2:13">
      <c r="B14" s="3" t="s">
        <v>311</v>
      </c>
      <c r="C14" s="4" t="s">
        <v>1018</v>
      </c>
      <c r="D14" s="4" t="s">
        <v>1019</v>
      </c>
      <c r="E14" s="4" t="s">
        <v>1020</v>
      </c>
      <c r="F14" s="4" t="s">
        <v>1021</v>
      </c>
      <c r="G14" s="4" t="s">
        <v>1020</v>
      </c>
      <c r="H14" s="4" t="s">
        <v>1022</v>
      </c>
      <c r="I14" s="4" t="s">
        <v>1023</v>
      </c>
      <c r="J14" s="4" t="s">
        <v>1024</v>
      </c>
      <c r="K14" s="4" t="s">
        <v>1025</v>
      </c>
      <c r="L14" s="4" t="s">
        <v>1026</v>
      </c>
      <c r="M14" s="7" t="s">
        <v>1027</v>
      </c>
    </row>
    <row r="15" ht="38" customHeight="1" spans="2:13">
      <c r="B15" s="3" t="s">
        <v>313</v>
      </c>
      <c r="C15" s="32" t="s">
        <v>1028</v>
      </c>
      <c r="D15" s="32" t="s">
        <v>985</v>
      </c>
      <c r="E15" s="32" t="s">
        <v>985</v>
      </c>
      <c r="F15" s="32" t="s">
        <v>1011</v>
      </c>
      <c r="G15" s="32" t="s">
        <v>1029</v>
      </c>
      <c r="H15" s="32" t="s">
        <v>1011</v>
      </c>
      <c r="I15" s="32" t="s">
        <v>1030</v>
      </c>
      <c r="J15" s="32" t="s">
        <v>1031</v>
      </c>
      <c r="K15" s="32" t="s">
        <v>1032</v>
      </c>
      <c r="L15" s="32" t="s">
        <v>1033</v>
      </c>
      <c r="M15" s="9" t="s">
        <v>1034</v>
      </c>
    </row>
    <row r="16" ht="38" customHeight="1" spans="2:13">
      <c r="B16" s="3" t="s">
        <v>308</v>
      </c>
      <c r="C16" s="4" t="s">
        <v>1035</v>
      </c>
      <c r="D16" s="4" t="s">
        <v>1036</v>
      </c>
      <c r="E16" s="4" t="s">
        <v>1037</v>
      </c>
      <c r="F16" s="4" t="s">
        <v>1020</v>
      </c>
      <c r="G16" s="4" t="s">
        <v>1020</v>
      </c>
      <c r="H16" s="4" t="s">
        <v>1020</v>
      </c>
      <c r="I16" s="4" t="s">
        <v>1038</v>
      </c>
      <c r="J16" s="4" t="s">
        <v>1039</v>
      </c>
      <c r="K16" s="4" t="s">
        <v>1040</v>
      </c>
      <c r="L16" s="4" t="s">
        <v>1041</v>
      </c>
      <c r="M16" s="7" t="s">
        <v>1042</v>
      </c>
    </row>
    <row r="17" ht="38" customHeight="1" spans="2:14">
      <c r="B17" s="3" t="s">
        <v>315</v>
      </c>
      <c r="C17" s="32" t="s">
        <v>1043</v>
      </c>
      <c r="D17" s="32" t="s">
        <v>1044</v>
      </c>
      <c r="E17" s="32" t="s">
        <v>1029</v>
      </c>
      <c r="F17" s="32" t="s">
        <v>1045</v>
      </c>
      <c r="G17" s="32" t="s">
        <v>1020</v>
      </c>
      <c r="H17" s="32" t="s">
        <v>1022</v>
      </c>
      <c r="I17" s="32" t="s">
        <v>1030</v>
      </c>
      <c r="J17" s="32" t="s">
        <v>1046</v>
      </c>
      <c r="K17" s="32" t="s">
        <v>1047</v>
      </c>
      <c r="L17" s="32" t="s">
        <v>1033</v>
      </c>
      <c r="M17" s="9" t="s">
        <v>1048</v>
      </c>
    </row>
    <row r="19" ht="24" customHeight="1" spans="2:14">
      <c r="B19" s="5" t="s">
        <v>1049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5"/>
    </row>
    <row r="20" ht="28" customHeight="1" spans="2:14">
      <c r="B20" s="6" t="s">
        <v>290</v>
      </c>
      <c r="C20" s="6" t="s">
        <v>1050</v>
      </c>
      <c r="D20" s="24"/>
      <c r="E20" s="24"/>
      <c r="F20" s="24"/>
      <c r="G20" s="25"/>
      <c r="H20" s="6" t="s">
        <v>1051</v>
      </c>
      <c r="I20" s="24"/>
      <c r="J20" s="24"/>
      <c r="K20" s="24"/>
      <c r="L20" s="25"/>
      <c r="M20" s="6" t="s">
        <v>1052</v>
      </c>
      <c r="N20" s="25"/>
    </row>
    <row r="21" ht="48" customHeight="1" spans="2:14">
      <c r="B21" s="3" t="s">
        <v>293</v>
      </c>
      <c r="C21" s="7" t="s">
        <v>1053</v>
      </c>
      <c r="D21" s="24"/>
      <c r="E21" s="24"/>
      <c r="F21" s="24"/>
      <c r="G21" s="25"/>
      <c r="H21" s="7" t="s">
        <v>1054</v>
      </c>
      <c r="I21" s="24"/>
      <c r="J21" s="24"/>
      <c r="K21" s="24"/>
      <c r="L21" s="25"/>
      <c r="M21" s="7" t="s">
        <v>1055</v>
      </c>
      <c r="N21" s="25"/>
    </row>
    <row r="22" ht="48" customHeight="1" spans="2:14">
      <c r="B22" s="3" t="s">
        <v>296</v>
      </c>
      <c r="C22" s="9" t="s">
        <v>1056</v>
      </c>
      <c r="D22" s="24"/>
      <c r="E22" s="24"/>
      <c r="F22" s="24"/>
      <c r="G22" s="25"/>
      <c r="H22" s="9" t="s">
        <v>1057</v>
      </c>
      <c r="I22" s="24"/>
      <c r="J22" s="24"/>
      <c r="K22" s="24"/>
      <c r="L22" s="25"/>
      <c r="M22" s="9" t="s">
        <v>1058</v>
      </c>
      <c r="N22" s="25"/>
    </row>
    <row r="23" ht="48" customHeight="1" spans="2:14">
      <c r="B23" s="3" t="s">
        <v>305</v>
      </c>
      <c r="C23" s="7" t="s">
        <v>1059</v>
      </c>
      <c r="D23" s="24"/>
      <c r="E23" s="24"/>
      <c r="F23" s="24"/>
      <c r="G23" s="25"/>
      <c r="H23" s="7" t="s">
        <v>1060</v>
      </c>
      <c r="I23" s="24"/>
      <c r="J23" s="24"/>
      <c r="K23" s="24"/>
      <c r="L23" s="25"/>
      <c r="M23" s="7" t="s">
        <v>1061</v>
      </c>
      <c r="N23" s="25"/>
    </row>
    <row r="24" ht="48" customHeight="1" spans="2:14">
      <c r="B24" s="3" t="s">
        <v>298</v>
      </c>
      <c r="C24" s="9" t="s">
        <v>1062</v>
      </c>
      <c r="D24" s="24"/>
      <c r="E24" s="24"/>
      <c r="F24" s="24"/>
      <c r="G24" s="25"/>
      <c r="H24" s="9" t="s">
        <v>1063</v>
      </c>
      <c r="I24" s="24"/>
      <c r="J24" s="24"/>
      <c r="K24" s="24"/>
      <c r="L24" s="25"/>
      <c r="M24" s="9" t="s">
        <v>1064</v>
      </c>
      <c r="N24" s="25"/>
    </row>
    <row r="25" ht="48" customHeight="1" spans="2:14">
      <c r="B25" s="3" t="s">
        <v>300</v>
      </c>
      <c r="C25" s="7" t="s">
        <v>1065</v>
      </c>
      <c r="D25" s="24"/>
      <c r="E25" s="24"/>
      <c r="F25" s="24"/>
      <c r="G25" s="25"/>
      <c r="H25" s="7" t="s">
        <v>1066</v>
      </c>
      <c r="I25" s="24"/>
      <c r="J25" s="24"/>
      <c r="K25" s="24"/>
      <c r="L25" s="25"/>
      <c r="M25" s="7" t="s">
        <v>1067</v>
      </c>
      <c r="N25" s="25"/>
    </row>
    <row r="26" ht="48" customHeight="1" spans="2:14">
      <c r="B26" s="3" t="s">
        <v>302</v>
      </c>
      <c r="C26" s="9" t="s">
        <v>1068</v>
      </c>
      <c r="D26" s="24"/>
      <c r="E26" s="24"/>
      <c r="F26" s="24"/>
      <c r="G26" s="25"/>
      <c r="H26" s="9" t="s">
        <v>1069</v>
      </c>
      <c r="I26" s="24"/>
      <c r="J26" s="24"/>
      <c r="K26" s="24"/>
      <c r="L26" s="25"/>
      <c r="M26" s="9" t="s">
        <v>1070</v>
      </c>
      <c r="N26" s="25"/>
    </row>
    <row r="27" ht="48" customHeight="1" spans="2:14">
      <c r="B27" s="3" t="s">
        <v>311</v>
      </c>
      <c r="C27" s="7" t="s">
        <v>1071</v>
      </c>
      <c r="D27" s="24"/>
      <c r="E27" s="24"/>
      <c r="F27" s="24"/>
      <c r="G27" s="25"/>
      <c r="H27" s="7" t="s">
        <v>1072</v>
      </c>
      <c r="I27" s="24"/>
      <c r="J27" s="24"/>
      <c r="K27" s="24"/>
      <c r="L27" s="25"/>
      <c r="M27" s="7" t="s">
        <v>1073</v>
      </c>
      <c r="N27" s="25"/>
    </row>
    <row r="28" ht="48" customHeight="1" spans="2:14">
      <c r="B28" s="3" t="s">
        <v>313</v>
      </c>
      <c r="C28" s="9" t="s">
        <v>1074</v>
      </c>
      <c r="D28" s="24"/>
      <c r="E28" s="24"/>
      <c r="F28" s="24"/>
      <c r="G28" s="25"/>
      <c r="H28" s="9" t="s">
        <v>1075</v>
      </c>
      <c r="I28" s="24"/>
      <c r="J28" s="24"/>
      <c r="K28" s="24"/>
      <c r="L28" s="25"/>
      <c r="M28" s="9" t="s">
        <v>1076</v>
      </c>
      <c r="N28" s="25"/>
    </row>
    <row r="29" ht="48" customHeight="1" spans="2:14">
      <c r="B29" s="3" t="s">
        <v>308</v>
      </c>
      <c r="C29" s="7" t="s">
        <v>1077</v>
      </c>
      <c r="D29" s="24"/>
      <c r="E29" s="24"/>
      <c r="F29" s="24"/>
      <c r="G29" s="25"/>
      <c r="H29" s="7" t="s">
        <v>1078</v>
      </c>
      <c r="I29" s="24"/>
      <c r="J29" s="24"/>
      <c r="K29" s="24"/>
      <c r="L29" s="25"/>
      <c r="M29" s="7" t="s">
        <v>1079</v>
      </c>
      <c r="N29" s="25"/>
    </row>
    <row r="30" ht="48" customHeight="1" spans="2:14">
      <c r="B30" s="3" t="s">
        <v>315</v>
      </c>
      <c r="C30" s="9" t="s">
        <v>1080</v>
      </c>
      <c r="D30" s="24"/>
      <c r="E30" s="24"/>
      <c r="F30" s="24"/>
      <c r="G30" s="25"/>
      <c r="H30" s="9" t="s">
        <v>1081</v>
      </c>
      <c r="I30" s="24"/>
      <c r="J30" s="24"/>
      <c r="K30" s="24"/>
      <c r="L30" s="25"/>
      <c r="M30" s="9" t="s">
        <v>1082</v>
      </c>
      <c r="N30" s="25"/>
    </row>
    <row r="32" ht="24" customHeight="1" spans="2:14">
      <c r="B32" s="5" t="s">
        <v>1083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5"/>
    </row>
    <row r="33" ht="24" customHeight="1" spans="2:14">
      <c r="B33" s="8" t="s">
        <v>1084</v>
      </c>
      <c r="C33" s="15" t="s">
        <v>1085</v>
      </c>
      <c r="D33" s="7" t="s">
        <v>1086</v>
      </c>
      <c r="E33" s="24"/>
      <c r="F33" s="24"/>
      <c r="G33" s="24"/>
      <c r="H33" s="24"/>
      <c r="I33" s="24"/>
      <c r="J33" s="24"/>
      <c r="K33" s="24"/>
      <c r="L33" s="24"/>
      <c r="M33" s="24"/>
      <c r="N33" s="25"/>
    </row>
    <row r="34" ht="24" customHeight="1" spans="2:14">
      <c r="B34" s="8" t="s">
        <v>983</v>
      </c>
      <c r="C34" s="20" t="s">
        <v>296</v>
      </c>
      <c r="D34" s="9" t="s">
        <v>1087</v>
      </c>
      <c r="E34" s="24"/>
      <c r="F34" s="24"/>
      <c r="G34" s="24"/>
      <c r="H34" s="24"/>
      <c r="I34" s="24"/>
      <c r="J34" s="24"/>
      <c r="K34" s="24"/>
      <c r="L34" s="24"/>
      <c r="M34" s="24"/>
      <c r="N34" s="25"/>
    </row>
    <row r="35" ht="24" customHeight="1" spans="2:14">
      <c r="B35" s="8" t="s">
        <v>1088</v>
      </c>
      <c r="C35" s="15" t="s">
        <v>305</v>
      </c>
      <c r="D35" s="7" t="s">
        <v>1089</v>
      </c>
      <c r="E35" s="24"/>
      <c r="F35" s="24"/>
      <c r="G35" s="24"/>
      <c r="H35" s="24"/>
      <c r="I35" s="24"/>
      <c r="J35" s="24"/>
      <c r="K35" s="24"/>
      <c r="L35" s="24"/>
      <c r="M35" s="24"/>
      <c r="N35" s="25"/>
    </row>
    <row r="36" ht="24" customHeight="1" spans="2:14">
      <c r="B36" s="8" t="s">
        <v>1090</v>
      </c>
      <c r="C36" s="20" t="s">
        <v>298</v>
      </c>
      <c r="D36" s="9" t="s">
        <v>1091</v>
      </c>
      <c r="E36" s="24"/>
      <c r="F36" s="24"/>
      <c r="G36" s="24"/>
      <c r="H36" s="24"/>
      <c r="I36" s="24"/>
      <c r="J36" s="24"/>
      <c r="K36" s="24"/>
      <c r="L36" s="24"/>
      <c r="M36" s="24"/>
      <c r="N36" s="25"/>
    </row>
    <row r="37" ht="24" customHeight="1" spans="2:14">
      <c r="B37" s="8" t="s">
        <v>1092</v>
      </c>
      <c r="C37" s="15" t="s">
        <v>300</v>
      </c>
      <c r="D37" s="7" t="s">
        <v>1093</v>
      </c>
      <c r="E37" s="24"/>
      <c r="F37" s="24"/>
      <c r="G37" s="24"/>
      <c r="H37" s="24"/>
      <c r="I37" s="24"/>
      <c r="J37" s="24"/>
      <c r="K37" s="24"/>
      <c r="L37" s="24"/>
      <c r="M37" s="24"/>
      <c r="N37" s="25"/>
    </row>
    <row r="38" ht="24" customHeight="1" spans="2:14">
      <c r="B38" s="8" t="s">
        <v>1017</v>
      </c>
      <c r="C38" s="20" t="s">
        <v>302</v>
      </c>
      <c r="D38" s="9" t="s">
        <v>1094</v>
      </c>
      <c r="E38" s="24"/>
      <c r="F38" s="24"/>
      <c r="G38" s="24"/>
      <c r="H38" s="24"/>
      <c r="I38" s="24"/>
      <c r="J38" s="24"/>
      <c r="K38" s="24"/>
      <c r="L38" s="24"/>
      <c r="M38" s="24"/>
      <c r="N38" s="25"/>
    </row>
    <row r="39" ht="24" customHeight="1" spans="2:14">
      <c r="B39" s="8" t="s">
        <v>1095</v>
      </c>
      <c r="C39" s="15" t="s">
        <v>308</v>
      </c>
      <c r="D39" s="7" t="s">
        <v>1096</v>
      </c>
      <c r="E39" s="24"/>
      <c r="F39" s="24"/>
      <c r="G39" s="24"/>
      <c r="H39" s="24"/>
      <c r="I39" s="24"/>
      <c r="J39" s="24"/>
      <c r="K39" s="24"/>
      <c r="L39" s="24"/>
      <c r="M39" s="24"/>
      <c r="N39" s="25"/>
    </row>
    <row r="40" ht="24" customHeight="1" spans="2:14">
      <c r="B40" s="8" t="s">
        <v>1097</v>
      </c>
      <c r="C40" s="20" t="s">
        <v>1098</v>
      </c>
      <c r="D40" s="9" t="s">
        <v>1099</v>
      </c>
      <c r="E40" s="24"/>
      <c r="F40" s="24"/>
      <c r="G40" s="24"/>
      <c r="H40" s="24"/>
      <c r="I40" s="24"/>
      <c r="J40" s="24"/>
      <c r="K40" s="24"/>
      <c r="L40" s="24"/>
      <c r="M40" s="24"/>
      <c r="N40" s="25"/>
    </row>
  </sheetData>
  <mergeCells count="44">
    <mergeCell ref="B6:L6"/>
    <mergeCell ref="B19:M19"/>
    <mergeCell ref="C20:G20"/>
    <mergeCell ref="H20:L20"/>
    <mergeCell ref="M20:N20"/>
    <mergeCell ref="C21:G21"/>
    <mergeCell ref="H21:L21"/>
    <mergeCell ref="M21:N21"/>
    <mergeCell ref="C22:G22"/>
    <mergeCell ref="H22:L22"/>
    <mergeCell ref="M22:N22"/>
    <mergeCell ref="C23:G23"/>
    <mergeCell ref="H23:L23"/>
    <mergeCell ref="M23:N23"/>
    <mergeCell ref="C24:G24"/>
    <mergeCell ref="H24:L24"/>
    <mergeCell ref="M24:N24"/>
    <mergeCell ref="C25:G25"/>
    <mergeCell ref="H25:L25"/>
    <mergeCell ref="M25:N25"/>
    <mergeCell ref="C26:G26"/>
    <mergeCell ref="H26:L26"/>
    <mergeCell ref="M26:N26"/>
    <mergeCell ref="C27:G27"/>
    <mergeCell ref="H27:L27"/>
    <mergeCell ref="M27:N27"/>
    <mergeCell ref="C28:G28"/>
    <mergeCell ref="H28:L28"/>
    <mergeCell ref="M28:N28"/>
    <mergeCell ref="C29:G29"/>
    <mergeCell ref="H29:L29"/>
    <mergeCell ref="M29:N29"/>
    <mergeCell ref="C30:G30"/>
    <mergeCell ref="H30:L30"/>
    <mergeCell ref="M30:N30"/>
    <mergeCell ref="B32:N32"/>
    <mergeCell ref="D33:N33"/>
    <mergeCell ref="D34:N34"/>
    <mergeCell ref="D35:N35"/>
    <mergeCell ref="D36:N36"/>
    <mergeCell ref="D37:N37"/>
    <mergeCell ref="D38:N38"/>
    <mergeCell ref="D39:N39"/>
    <mergeCell ref="D40:N40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39"/>
  <sheetViews>
    <sheetView showGridLines="0" workbookViewId="0">
      <selection activeCell="A1" sqref="A1"/>
    </sheetView>
  </sheetViews>
  <sheetFormatPr defaultColWidth="9" defaultRowHeight="14"/>
  <cols>
    <col min="1" max="1" width="2" customWidth="1"/>
    <col min="2" max="2" width="22" customWidth="1"/>
    <col min="3" max="12" width="11" customWidth="1"/>
    <col min="13" max="13" width="13" customWidth="1"/>
  </cols>
  <sheetData>
    <row r="2" ht="32" customHeight="1" spans="2:13">
      <c r="B2" s="1" t="s">
        <v>57</v>
      </c>
    </row>
    <row r="3" spans="2:13">
      <c r="B3" s="2" t="s">
        <v>1100</v>
      </c>
    </row>
    <row r="4" ht="26" spans="2:13">
      <c r="B4" s="3" t="s">
        <v>72</v>
      </c>
      <c r="C4" s="4" t="s">
        <v>73</v>
      </c>
      <c r="D4" s="3" t="s">
        <v>74</v>
      </c>
      <c r="E4" s="4" t="s">
        <v>75</v>
      </c>
      <c r="F4" s="3" t="s">
        <v>76</v>
      </c>
      <c r="G4" s="4" t="s">
        <v>77</v>
      </c>
      <c r="H4" s="3" t="s">
        <v>78</v>
      </c>
      <c r="I4" s="4" t="s">
        <v>79</v>
      </c>
    </row>
    <row r="6" ht="24" customHeight="1" spans="2:13">
      <c r="B6" s="23" t="s">
        <v>1101</v>
      </c>
      <c r="C6" s="24"/>
      <c r="D6" s="24"/>
      <c r="E6" s="24"/>
      <c r="F6" s="24"/>
      <c r="G6" s="24"/>
      <c r="H6" s="24"/>
      <c r="I6" s="24"/>
      <c r="J6" s="24"/>
      <c r="K6" s="24"/>
      <c r="L6" s="25"/>
    </row>
    <row r="8" ht="28" customHeight="1" spans="2:13">
      <c r="B8" s="6" t="s">
        <v>1102</v>
      </c>
      <c r="C8" s="6" t="s">
        <v>293</v>
      </c>
      <c r="D8" s="6" t="s">
        <v>296</v>
      </c>
      <c r="E8" s="6" t="s">
        <v>305</v>
      </c>
      <c r="F8" s="6" t="s">
        <v>298</v>
      </c>
      <c r="G8" s="6" t="s">
        <v>300</v>
      </c>
      <c r="H8" s="6" t="s">
        <v>302</v>
      </c>
      <c r="I8" s="6" t="s">
        <v>311</v>
      </c>
      <c r="J8" s="6" t="s">
        <v>313</v>
      </c>
      <c r="K8" s="6" t="s">
        <v>308</v>
      </c>
      <c r="L8" s="6" t="s">
        <v>315</v>
      </c>
      <c r="M8" s="6" t="s">
        <v>1103</v>
      </c>
    </row>
    <row r="9" ht="26" customHeight="1" spans="2:13">
      <c r="B9" s="8" t="s">
        <v>123</v>
      </c>
      <c r="C9" s="14">
        <v>5</v>
      </c>
      <c r="D9" s="14">
        <v>5</v>
      </c>
      <c r="E9" s="26">
        <v>4</v>
      </c>
      <c r="F9" s="14">
        <v>5</v>
      </c>
      <c r="G9" s="14">
        <v>5</v>
      </c>
      <c r="H9" s="26">
        <v>4</v>
      </c>
      <c r="I9" s="16">
        <v>3</v>
      </c>
      <c r="J9" s="16">
        <v>3</v>
      </c>
      <c r="K9" s="26">
        <v>4</v>
      </c>
      <c r="L9" s="16">
        <v>3</v>
      </c>
      <c r="M9" s="27">
        <f t="shared" ref="M9:M15" si="0">AVERAGE(C9:L9)</f>
        <v>4.1</v>
      </c>
    </row>
    <row r="10" ht="26" customHeight="1" spans="2:13">
      <c r="B10" s="8" t="s">
        <v>136</v>
      </c>
      <c r="C10" s="26">
        <v>4</v>
      </c>
      <c r="D10" s="14">
        <v>5</v>
      </c>
      <c r="E10" s="26">
        <v>4</v>
      </c>
      <c r="F10" s="26">
        <v>4</v>
      </c>
      <c r="G10" s="14">
        <v>5</v>
      </c>
      <c r="H10" s="26">
        <v>4</v>
      </c>
      <c r="I10" s="16">
        <v>3</v>
      </c>
      <c r="J10" s="26">
        <v>4</v>
      </c>
      <c r="K10" s="17">
        <v>2</v>
      </c>
      <c r="L10" s="17">
        <v>2</v>
      </c>
      <c r="M10" s="27">
        <f t="shared" si="0"/>
        <v>3.7</v>
      </c>
    </row>
    <row r="11" ht="26" customHeight="1" spans="2:13">
      <c r="B11" s="8" t="s">
        <v>1104</v>
      </c>
      <c r="C11" s="14">
        <v>5</v>
      </c>
      <c r="D11" s="26">
        <v>4</v>
      </c>
      <c r="E11" s="26">
        <v>4</v>
      </c>
      <c r="F11" s="26">
        <v>4</v>
      </c>
      <c r="G11" s="14">
        <v>5</v>
      </c>
      <c r="H11" s="16">
        <v>3</v>
      </c>
      <c r="I11" s="28">
        <v>1</v>
      </c>
      <c r="J11" s="26">
        <v>4</v>
      </c>
      <c r="K11" s="16">
        <v>3</v>
      </c>
      <c r="L11" s="17">
        <v>2</v>
      </c>
      <c r="M11" s="27">
        <f t="shared" si="0"/>
        <v>3.5</v>
      </c>
    </row>
    <row r="12" ht="26" customHeight="1" spans="2:13">
      <c r="B12" s="8" t="s">
        <v>141</v>
      </c>
      <c r="C12" s="26">
        <v>4</v>
      </c>
      <c r="D12" s="14">
        <v>5</v>
      </c>
      <c r="E12" s="26">
        <v>4</v>
      </c>
      <c r="F12" s="16">
        <v>3</v>
      </c>
      <c r="G12" s="14">
        <v>5</v>
      </c>
      <c r="H12" s="16">
        <v>3</v>
      </c>
      <c r="I12" s="16">
        <v>3</v>
      </c>
      <c r="J12" s="16">
        <v>3</v>
      </c>
      <c r="K12" s="28">
        <v>1</v>
      </c>
      <c r="L12" s="16">
        <v>3</v>
      </c>
      <c r="M12" s="27">
        <f t="shared" si="0"/>
        <v>3.4</v>
      </c>
    </row>
    <row r="13" ht="26" customHeight="1" spans="2:13">
      <c r="B13" s="8" t="s">
        <v>144</v>
      </c>
      <c r="C13" s="16">
        <v>3</v>
      </c>
      <c r="D13" s="26">
        <v>4</v>
      </c>
      <c r="E13" s="17">
        <v>2</v>
      </c>
      <c r="F13" s="16">
        <v>3</v>
      </c>
      <c r="G13" s="26">
        <v>4</v>
      </c>
      <c r="H13" s="17">
        <v>2</v>
      </c>
      <c r="I13" s="28">
        <v>1</v>
      </c>
      <c r="J13" s="17">
        <v>2</v>
      </c>
      <c r="K13" s="28">
        <v>1</v>
      </c>
      <c r="L13" s="28">
        <v>1</v>
      </c>
      <c r="M13" s="27">
        <f t="shared" si="0"/>
        <v>2.3</v>
      </c>
    </row>
    <row r="14" ht="26" customHeight="1" spans="2:13">
      <c r="B14" s="8" t="s">
        <v>146</v>
      </c>
      <c r="C14" s="26">
        <v>4</v>
      </c>
      <c r="D14" s="14">
        <v>5</v>
      </c>
      <c r="E14" s="16">
        <v>3</v>
      </c>
      <c r="F14" s="26">
        <v>4</v>
      </c>
      <c r="G14" s="26">
        <v>4</v>
      </c>
      <c r="H14" s="26">
        <v>4</v>
      </c>
      <c r="I14" s="17">
        <v>2</v>
      </c>
      <c r="J14" s="16">
        <v>3</v>
      </c>
      <c r="K14" s="28">
        <v>1</v>
      </c>
      <c r="L14" s="17">
        <v>2</v>
      </c>
      <c r="M14" s="27">
        <f t="shared" si="0"/>
        <v>3.2</v>
      </c>
    </row>
    <row r="15" ht="26" customHeight="1" spans="2:13">
      <c r="B15" s="8" t="s">
        <v>148</v>
      </c>
      <c r="C15" s="14">
        <v>5</v>
      </c>
      <c r="D15" s="14">
        <v>5</v>
      </c>
      <c r="E15" s="14">
        <v>5</v>
      </c>
      <c r="F15" s="14">
        <v>5</v>
      </c>
      <c r="G15" s="14">
        <v>5</v>
      </c>
      <c r="H15" s="14">
        <v>5</v>
      </c>
      <c r="I15" s="28">
        <v>1</v>
      </c>
      <c r="J15" s="26">
        <v>4</v>
      </c>
      <c r="K15" s="26">
        <v>4</v>
      </c>
      <c r="L15" s="26">
        <v>4</v>
      </c>
      <c r="M15" s="27">
        <f t="shared" si="0"/>
        <v>4.3</v>
      </c>
    </row>
    <row r="16" ht="30" customHeight="1" spans="2:13">
      <c r="B16" s="6" t="s">
        <v>1105</v>
      </c>
      <c r="C16" s="27">
        <f t="shared" ref="C16:L16" si="1">AVERAGE(C9:C15)</f>
        <v>4.28571428571429</v>
      </c>
      <c r="D16" s="27">
        <f t="shared" si="1"/>
        <v>4.71428571428571</v>
      </c>
      <c r="E16" s="27">
        <f t="shared" si="1"/>
        <v>3.71428571428571</v>
      </c>
      <c r="F16" s="27">
        <f t="shared" si="1"/>
        <v>4</v>
      </c>
      <c r="G16" s="27">
        <f t="shared" si="1"/>
        <v>4.71428571428571</v>
      </c>
      <c r="H16" s="27">
        <f t="shared" si="1"/>
        <v>3.57142857142857</v>
      </c>
      <c r="I16" s="27">
        <f t="shared" si="1"/>
        <v>2</v>
      </c>
      <c r="J16" s="27">
        <f t="shared" si="1"/>
        <v>3.28571428571429</v>
      </c>
      <c r="K16" s="27">
        <f t="shared" si="1"/>
        <v>2.28571428571429</v>
      </c>
      <c r="L16" s="27">
        <f t="shared" si="1"/>
        <v>2.42857142857143</v>
      </c>
      <c r="M16" s="29">
        <f>AVERAGE(C9:L15)</f>
        <v>3.5</v>
      </c>
    </row>
    <row r="18" ht="24" customHeight="1" spans="2:13">
      <c r="B18" s="5" t="s">
        <v>1106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</row>
    <row r="19" ht="28" customHeight="1" spans="2:13">
      <c r="B19" s="6" t="s">
        <v>1102</v>
      </c>
      <c r="C19" s="6" t="s">
        <v>1107</v>
      </c>
      <c r="D19" s="25"/>
      <c r="E19" s="6" t="s">
        <v>1108</v>
      </c>
      <c r="F19" s="25"/>
      <c r="G19" s="6" t="s">
        <v>1109</v>
      </c>
      <c r="H19" s="24"/>
      <c r="I19" s="24"/>
      <c r="J19" s="24"/>
      <c r="K19" s="24"/>
      <c r="L19" s="24"/>
      <c r="M19" s="25"/>
    </row>
    <row r="20" ht="26" customHeight="1" spans="2:13">
      <c r="B20" s="8" t="s">
        <v>123</v>
      </c>
      <c r="C20" s="30" t="s">
        <v>1110</v>
      </c>
      <c r="D20" s="25"/>
      <c r="E20" s="4" t="s">
        <v>1111</v>
      </c>
      <c r="F20" s="25"/>
      <c r="G20" s="7" t="s">
        <v>1112</v>
      </c>
      <c r="H20" s="24"/>
      <c r="I20" s="24"/>
      <c r="J20" s="24"/>
      <c r="K20" s="24"/>
      <c r="L20" s="24"/>
      <c r="M20" s="25"/>
    </row>
    <row r="21" ht="26" customHeight="1" spans="2:13">
      <c r="B21" s="8" t="s">
        <v>136</v>
      </c>
      <c r="C21" s="31" t="s">
        <v>1113</v>
      </c>
      <c r="D21" s="25"/>
      <c r="E21" s="32" t="s">
        <v>1114</v>
      </c>
      <c r="F21" s="25"/>
      <c r="G21" s="9" t="s">
        <v>1115</v>
      </c>
      <c r="H21" s="24"/>
      <c r="I21" s="24"/>
      <c r="J21" s="24"/>
      <c r="K21" s="24"/>
      <c r="L21" s="24"/>
      <c r="M21" s="25"/>
    </row>
    <row r="22" ht="26" customHeight="1" spans="2:13">
      <c r="B22" s="8" t="s">
        <v>1104</v>
      </c>
      <c r="C22" s="30" t="s">
        <v>1116</v>
      </c>
      <c r="D22" s="25"/>
      <c r="E22" s="4" t="s">
        <v>1117</v>
      </c>
      <c r="F22" s="25"/>
      <c r="G22" s="7" t="s">
        <v>1118</v>
      </c>
      <c r="H22" s="24"/>
      <c r="I22" s="24"/>
      <c r="J22" s="24"/>
      <c r="K22" s="24"/>
      <c r="L22" s="24"/>
      <c r="M22" s="25"/>
    </row>
    <row r="23" ht="26" customHeight="1" spans="2:13">
      <c r="B23" s="8" t="s">
        <v>141</v>
      </c>
      <c r="C23" s="31" t="s">
        <v>1113</v>
      </c>
      <c r="D23" s="25"/>
      <c r="E23" s="32" t="s">
        <v>1119</v>
      </c>
      <c r="F23" s="25"/>
      <c r="G23" s="9" t="s">
        <v>1120</v>
      </c>
      <c r="H23" s="24"/>
      <c r="I23" s="24"/>
      <c r="J23" s="24"/>
      <c r="K23" s="24"/>
      <c r="L23" s="24"/>
      <c r="M23" s="25"/>
    </row>
    <row r="24" ht="26" customHeight="1" spans="2:13">
      <c r="B24" s="8" t="s">
        <v>144</v>
      </c>
      <c r="C24" s="30" t="s">
        <v>1121</v>
      </c>
      <c r="D24" s="25"/>
      <c r="E24" s="4" t="s">
        <v>1122</v>
      </c>
      <c r="F24" s="25"/>
      <c r="G24" s="7" t="s">
        <v>1123</v>
      </c>
      <c r="H24" s="24"/>
      <c r="I24" s="24"/>
      <c r="J24" s="24"/>
      <c r="K24" s="24"/>
      <c r="L24" s="24"/>
      <c r="M24" s="25"/>
    </row>
    <row r="25" ht="26" customHeight="1" spans="2:13">
      <c r="B25" s="8" t="s">
        <v>146</v>
      </c>
      <c r="C25" s="31" t="s">
        <v>1110</v>
      </c>
      <c r="D25" s="25"/>
      <c r="E25" s="32" t="s">
        <v>1124</v>
      </c>
      <c r="F25" s="25"/>
      <c r="G25" s="9" t="s">
        <v>1125</v>
      </c>
      <c r="H25" s="24"/>
      <c r="I25" s="24"/>
      <c r="J25" s="24"/>
      <c r="K25" s="24"/>
      <c r="L25" s="24"/>
      <c r="M25" s="25"/>
    </row>
    <row r="26" ht="26" customHeight="1" spans="2:13">
      <c r="B26" s="8" t="s">
        <v>148</v>
      </c>
      <c r="C26" s="30" t="s">
        <v>1126</v>
      </c>
      <c r="D26" s="25"/>
      <c r="E26" s="4" t="s">
        <v>1127</v>
      </c>
      <c r="F26" s="25"/>
      <c r="G26" s="7" t="s">
        <v>1128</v>
      </c>
      <c r="H26" s="24"/>
      <c r="I26" s="24"/>
      <c r="J26" s="24"/>
      <c r="K26" s="24"/>
      <c r="L26" s="24"/>
      <c r="M26" s="25"/>
    </row>
    <row r="28" ht="24" customHeight="1" spans="2:13">
      <c r="B28" s="5" t="s">
        <v>1129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5"/>
    </row>
    <row r="29" ht="28" customHeight="1" spans="2:13">
      <c r="B29" s="6" t="s">
        <v>934</v>
      </c>
      <c r="C29" s="6" t="s">
        <v>290</v>
      </c>
      <c r="D29" s="6" t="s">
        <v>1130</v>
      </c>
      <c r="E29" s="6" t="s">
        <v>1131</v>
      </c>
      <c r="F29" s="24"/>
      <c r="G29" s="24"/>
      <c r="H29" s="24"/>
      <c r="I29" s="24"/>
      <c r="J29" s="24"/>
      <c r="K29" s="24"/>
      <c r="L29" s="24"/>
      <c r="M29" s="25"/>
    </row>
    <row r="30" ht="24" customHeight="1" spans="2:13">
      <c r="B30" s="15">
        <v>1</v>
      </c>
      <c r="C30" s="3" t="s">
        <v>296</v>
      </c>
      <c r="D30" s="33">
        <v>4.71428571428571</v>
      </c>
      <c r="E30" s="7" t="s">
        <v>1132</v>
      </c>
      <c r="F30" s="24"/>
      <c r="G30" s="24"/>
      <c r="H30" s="24"/>
      <c r="I30" s="24"/>
      <c r="J30" s="24"/>
      <c r="K30" s="24"/>
      <c r="L30" s="24"/>
      <c r="M30" s="25"/>
    </row>
    <row r="31" ht="24" customHeight="1" spans="2:13">
      <c r="B31" s="20">
        <v>2</v>
      </c>
      <c r="C31" s="3" t="s">
        <v>300</v>
      </c>
      <c r="D31" s="34">
        <v>4.71428571428571</v>
      </c>
      <c r="E31" s="9" t="s">
        <v>1133</v>
      </c>
      <c r="F31" s="24"/>
      <c r="G31" s="24"/>
      <c r="H31" s="24"/>
      <c r="I31" s="24"/>
      <c r="J31" s="24"/>
      <c r="K31" s="24"/>
      <c r="L31" s="24"/>
      <c r="M31" s="25"/>
    </row>
    <row r="32" ht="24" customHeight="1" spans="2:13">
      <c r="B32" s="15">
        <v>3</v>
      </c>
      <c r="C32" s="3" t="s">
        <v>293</v>
      </c>
      <c r="D32" s="33">
        <v>4.28571428571429</v>
      </c>
      <c r="E32" s="7" t="s">
        <v>1134</v>
      </c>
      <c r="F32" s="24"/>
      <c r="G32" s="24"/>
      <c r="H32" s="24"/>
      <c r="I32" s="24"/>
      <c r="J32" s="24"/>
      <c r="K32" s="24"/>
      <c r="L32" s="24"/>
      <c r="M32" s="25"/>
    </row>
    <row r="33" ht="24" customHeight="1" spans="2:13">
      <c r="B33" s="20">
        <v>4</v>
      </c>
      <c r="C33" s="3" t="s">
        <v>298</v>
      </c>
      <c r="D33" s="34">
        <v>4</v>
      </c>
      <c r="E33" s="9" t="s">
        <v>1135</v>
      </c>
      <c r="F33" s="24"/>
      <c r="G33" s="24"/>
      <c r="H33" s="24"/>
      <c r="I33" s="24"/>
      <c r="J33" s="24"/>
      <c r="K33" s="24"/>
      <c r="L33" s="24"/>
      <c r="M33" s="25"/>
    </row>
    <row r="34" ht="24" customHeight="1" spans="2:13">
      <c r="B34" s="15">
        <v>5</v>
      </c>
      <c r="C34" s="3" t="s">
        <v>305</v>
      </c>
      <c r="D34" s="33">
        <v>3.71428571428571</v>
      </c>
      <c r="E34" s="7" t="s">
        <v>1136</v>
      </c>
      <c r="F34" s="24"/>
      <c r="G34" s="24"/>
      <c r="H34" s="24"/>
      <c r="I34" s="24"/>
      <c r="J34" s="24"/>
      <c r="K34" s="24"/>
      <c r="L34" s="24"/>
      <c r="M34" s="25"/>
    </row>
    <row r="35" ht="24" customHeight="1" spans="2:13">
      <c r="B35" s="20">
        <v>6</v>
      </c>
      <c r="C35" s="3" t="s">
        <v>302</v>
      </c>
      <c r="D35" s="34">
        <v>3.57142857142857</v>
      </c>
      <c r="E35" s="9" t="s">
        <v>1017</v>
      </c>
      <c r="F35" s="24"/>
      <c r="G35" s="24"/>
      <c r="H35" s="24"/>
      <c r="I35" s="24"/>
      <c r="J35" s="24"/>
      <c r="K35" s="24"/>
      <c r="L35" s="24"/>
      <c r="M35" s="25"/>
    </row>
    <row r="36" ht="24" customHeight="1" spans="2:13">
      <c r="B36" s="15">
        <v>7</v>
      </c>
      <c r="C36" s="3" t="s">
        <v>313</v>
      </c>
      <c r="D36" s="33">
        <v>3.28571428571429</v>
      </c>
      <c r="E36" s="7" t="s">
        <v>1137</v>
      </c>
      <c r="F36" s="24"/>
      <c r="G36" s="24"/>
      <c r="H36" s="24"/>
      <c r="I36" s="24"/>
      <c r="J36" s="24"/>
      <c r="K36" s="24"/>
      <c r="L36" s="24"/>
      <c r="M36" s="25"/>
    </row>
    <row r="37" ht="24" customHeight="1" spans="2:13">
      <c r="B37" s="20">
        <v>8</v>
      </c>
      <c r="C37" s="3" t="s">
        <v>315</v>
      </c>
      <c r="D37" s="34">
        <v>2.42857142857143</v>
      </c>
      <c r="E37" s="9" t="s">
        <v>1138</v>
      </c>
      <c r="F37" s="24"/>
      <c r="G37" s="24"/>
      <c r="H37" s="24"/>
      <c r="I37" s="24"/>
      <c r="J37" s="24"/>
      <c r="K37" s="24"/>
      <c r="L37" s="24"/>
      <c r="M37" s="25"/>
    </row>
    <row r="38" ht="24" customHeight="1" spans="2:13">
      <c r="B38" s="15">
        <v>9</v>
      </c>
      <c r="C38" s="3" t="s">
        <v>308</v>
      </c>
      <c r="D38" s="33">
        <v>2.28571428571429</v>
      </c>
      <c r="E38" s="7" t="s">
        <v>1139</v>
      </c>
      <c r="F38" s="24"/>
      <c r="G38" s="24"/>
      <c r="H38" s="24"/>
      <c r="I38" s="24"/>
      <c r="J38" s="24"/>
      <c r="K38" s="24"/>
      <c r="L38" s="24"/>
      <c r="M38" s="25"/>
    </row>
    <row r="39" ht="24" customHeight="1" spans="2:13">
      <c r="B39" s="20">
        <v>10</v>
      </c>
      <c r="C39" s="3" t="s">
        <v>311</v>
      </c>
      <c r="D39" s="34">
        <v>2</v>
      </c>
      <c r="E39" s="9" t="s">
        <v>1140</v>
      </c>
      <c r="F39" s="24"/>
      <c r="G39" s="24"/>
      <c r="H39" s="24"/>
      <c r="I39" s="24"/>
      <c r="J39" s="24"/>
      <c r="K39" s="24"/>
      <c r="L39" s="24"/>
      <c r="M39" s="25"/>
    </row>
  </sheetData>
  <mergeCells count="38">
    <mergeCell ref="B6:L6"/>
    <mergeCell ref="B18:M18"/>
    <mergeCell ref="C19:D19"/>
    <mergeCell ref="E19:F19"/>
    <mergeCell ref="G19:M19"/>
    <mergeCell ref="C20:D20"/>
    <mergeCell ref="E20:F20"/>
    <mergeCell ref="G20:M20"/>
    <mergeCell ref="C21:D21"/>
    <mergeCell ref="E21:F21"/>
    <mergeCell ref="G21:M21"/>
    <mergeCell ref="C22:D22"/>
    <mergeCell ref="E22:F22"/>
    <mergeCell ref="G22:M22"/>
    <mergeCell ref="C23:D23"/>
    <mergeCell ref="E23:F23"/>
    <mergeCell ref="G23:M23"/>
    <mergeCell ref="C24:D24"/>
    <mergeCell ref="E24:F24"/>
    <mergeCell ref="G24:M24"/>
    <mergeCell ref="C25:D25"/>
    <mergeCell ref="E25:F25"/>
    <mergeCell ref="G25:M25"/>
    <mergeCell ref="C26:D26"/>
    <mergeCell ref="E26:F26"/>
    <mergeCell ref="G26:M26"/>
    <mergeCell ref="B28:M28"/>
    <mergeCell ref="E29:M29"/>
    <mergeCell ref="E30:M30"/>
    <mergeCell ref="E31:M31"/>
    <mergeCell ref="E32:M32"/>
    <mergeCell ref="E33:M33"/>
    <mergeCell ref="E34:M34"/>
    <mergeCell ref="E35:M35"/>
    <mergeCell ref="E36:M36"/>
    <mergeCell ref="E37:M37"/>
    <mergeCell ref="E38:M38"/>
    <mergeCell ref="E39:M39"/>
  </mergeCells>
  <conditionalFormatting sqref="D30:D39">
    <cfRule type="dataBar" priority="2">
      <dataBar>
        <cfvo type="min"/>
        <cfvo type="max"/>
        <color rgb="FFC4724A"/>
      </dataBar>
      <extLst>
        <ext xmlns:x14="http://schemas.microsoft.com/office/spreadsheetml/2009/9/main" uri="{B025F937-C7B1-47D3-B67F-A62EFF666E3E}">
          <x14:id>{0426b40c-be88-4d29-97a8-1993b23ced85}</x14:id>
        </ext>
      </extLst>
    </cfRule>
  </conditionalFormatting>
  <conditionalFormatting sqref="C9:L15">
    <cfRule type="colorScale" priority="1">
      <colorScale>
        <cfvo type="num" val="1"/>
        <cfvo type="num" val="3"/>
        <cfvo type="num" val="5"/>
        <color rgb="FFFFCDD2"/>
        <color rgb="FFFFF9C4"/>
        <color rgb="FFC8E6C9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26b40c-be88-4d29-97a8-1993b23ced8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D30:D39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9"/>
  <sheetViews>
    <sheetView showGridLines="0" workbookViewId="0">
      <selection activeCell="A1" sqref="A1"/>
    </sheetView>
  </sheetViews>
  <sheetFormatPr defaultColWidth="9" defaultRowHeight="14"/>
  <cols>
    <col min="1" max="1" width="2" customWidth="1"/>
    <col min="2" max="2" width="14" customWidth="1"/>
    <col min="3" max="4" width="22" customWidth="1"/>
    <col min="5" max="5" width="32" customWidth="1"/>
    <col min="6" max="6" width="14" customWidth="1"/>
    <col min="7" max="7" width="18" customWidth="1"/>
    <col min="8" max="8" width="22" customWidth="1"/>
  </cols>
  <sheetData>
    <row r="2" ht="32" customHeight="1" spans="2:9">
      <c r="B2" s="1" t="s">
        <v>60</v>
      </c>
    </row>
    <row r="3" spans="2:9">
      <c r="B3" s="2" t="s">
        <v>1141</v>
      </c>
    </row>
    <row r="4" ht="26" spans="2:9">
      <c r="B4" s="3" t="s">
        <v>72</v>
      </c>
      <c r="C4" s="4" t="s">
        <v>73</v>
      </c>
      <c r="D4" s="3" t="s">
        <v>74</v>
      </c>
      <c r="E4" s="4" t="s">
        <v>75</v>
      </c>
      <c r="F4" s="3" t="s">
        <v>76</v>
      </c>
      <c r="G4" s="4" t="s">
        <v>77</v>
      </c>
      <c r="H4" s="3" t="s">
        <v>78</v>
      </c>
      <c r="I4" s="4" t="s">
        <v>79</v>
      </c>
    </row>
    <row r="6" ht="24" customHeight="1" spans="2:9">
      <c r="B6" s="5" t="s">
        <v>1142</v>
      </c>
    </row>
    <row r="7" ht="28" customHeight="1" spans="2:9">
      <c r="B7" s="6" t="s">
        <v>1143</v>
      </c>
      <c r="C7" s="6" t="s">
        <v>1144</v>
      </c>
      <c r="D7" s="6" t="s">
        <v>1145</v>
      </c>
      <c r="E7" s="6" t="s">
        <v>1146</v>
      </c>
      <c r="F7" s="6" t="s">
        <v>1147</v>
      </c>
      <c r="G7" s="6" t="s">
        <v>1148</v>
      </c>
      <c r="H7" s="6" t="s">
        <v>122</v>
      </c>
    </row>
    <row r="8" ht="56" customHeight="1" spans="2:9">
      <c r="B8" s="14" t="s">
        <v>1149</v>
      </c>
      <c r="C8" s="7" t="s">
        <v>1150</v>
      </c>
      <c r="D8" s="7" t="s">
        <v>1151</v>
      </c>
      <c r="E8" s="7" t="s">
        <v>1152</v>
      </c>
      <c r="F8" s="15" t="s">
        <v>1153</v>
      </c>
      <c r="G8" s="7" t="s">
        <v>1154</v>
      </c>
      <c r="H8" s="7" t="s">
        <v>1155</v>
      </c>
      <c r="I8" s="14" t="s">
        <v>1156</v>
      </c>
    </row>
    <row r="9" ht="56" customHeight="1" spans="2:9">
      <c r="B9" s="14" t="s">
        <v>1149</v>
      </c>
      <c r="C9" s="7" t="s">
        <v>1157</v>
      </c>
      <c r="D9" s="7" t="s">
        <v>1158</v>
      </c>
      <c r="E9" s="7" t="s">
        <v>1159</v>
      </c>
      <c r="F9" s="15" t="s">
        <v>1153</v>
      </c>
      <c r="G9" s="7" t="s">
        <v>661</v>
      </c>
      <c r="H9" s="7" t="s">
        <v>1160</v>
      </c>
      <c r="I9" s="14" t="s">
        <v>1161</v>
      </c>
    </row>
    <row r="10" ht="56" customHeight="1" spans="2:9">
      <c r="B10" s="16" t="s">
        <v>1162</v>
      </c>
      <c r="C10" s="7" t="s">
        <v>1163</v>
      </c>
      <c r="D10" s="7" t="s">
        <v>1164</v>
      </c>
      <c r="E10" s="7" t="s">
        <v>1165</v>
      </c>
      <c r="F10" s="15" t="s">
        <v>1166</v>
      </c>
      <c r="G10" s="7" t="s">
        <v>1167</v>
      </c>
      <c r="H10" s="7" t="s">
        <v>1168</v>
      </c>
      <c r="I10" s="16" t="s">
        <v>1169</v>
      </c>
    </row>
    <row r="11" ht="56" customHeight="1" spans="2:9">
      <c r="B11" s="16" t="s">
        <v>1162</v>
      </c>
      <c r="C11" s="7" t="s">
        <v>1170</v>
      </c>
      <c r="D11" s="7" t="s">
        <v>1171</v>
      </c>
      <c r="E11" s="7" t="s">
        <v>1172</v>
      </c>
      <c r="F11" s="15" t="s">
        <v>1166</v>
      </c>
      <c r="G11" s="7" t="s">
        <v>1167</v>
      </c>
      <c r="H11" s="7" t="s">
        <v>1168</v>
      </c>
      <c r="I11" s="16" t="s">
        <v>1169</v>
      </c>
    </row>
    <row r="12" ht="56" customHeight="1" spans="2:9">
      <c r="B12" s="16" t="s">
        <v>1162</v>
      </c>
      <c r="C12" s="7" t="s">
        <v>1173</v>
      </c>
      <c r="D12" s="7" t="s">
        <v>1174</v>
      </c>
      <c r="E12" s="7" t="s">
        <v>1175</v>
      </c>
      <c r="F12" s="15" t="s">
        <v>1153</v>
      </c>
      <c r="G12" s="7" t="s">
        <v>1176</v>
      </c>
      <c r="H12" s="7" t="s">
        <v>1177</v>
      </c>
      <c r="I12" s="17" t="s">
        <v>1178</v>
      </c>
    </row>
    <row r="13" ht="56" customHeight="1" spans="2:9">
      <c r="B13" s="16" t="s">
        <v>1162</v>
      </c>
      <c r="C13" s="7" t="s">
        <v>1179</v>
      </c>
      <c r="D13" s="7" t="s">
        <v>1180</v>
      </c>
      <c r="E13" s="7" t="s">
        <v>1181</v>
      </c>
      <c r="F13" s="15" t="s">
        <v>1166</v>
      </c>
      <c r="G13" s="7" t="s">
        <v>1182</v>
      </c>
      <c r="H13" s="7" t="s">
        <v>1155</v>
      </c>
      <c r="I13" s="16" t="s">
        <v>1183</v>
      </c>
    </row>
    <row r="14" ht="56" customHeight="1" spans="2:9">
      <c r="B14" s="17" t="s">
        <v>1184</v>
      </c>
      <c r="C14" s="7" t="s">
        <v>1185</v>
      </c>
      <c r="D14" s="7" t="s">
        <v>1186</v>
      </c>
      <c r="E14" s="7" t="s">
        <v>1187</v>
      </c>
      <c r="F14" s="15" t="s">
        <v>1153</v>
      </c>
      <c r="G14" s="7" t="s">
        <v>1188</v>
      </c>
      <c r="H14" s="7" t="s">
        <v>1189</v>
      </c>
      <c r="I14" s="17" t="s">
        <v>1190</v>
      </c>
    </row>
    <row r="15" ht="56" customHeight="1" spans="2:9">
      <c r="B15" s="17" t="s">
        <v>1184</v>
      </c>
      <c r="C15" s="7" t="s">
        <v>1191</v>
      </c>
      <c r="D15" s="7" t="s">
        <v>1192</v>
      </c>
      <c r="E15" s="7" t="s">
        <v>1193</v>
      </c>
      <c r="F15" s="15" t="s">
        <v>1194</v>
      </c>
      <c r="G15" s="7" t="s">
        <v>1195</v>
      </c>
      <c r="H15" s="7" t="s">
        <v>1196</v>
      </c>
      <c r="I15" s="17" t="s">
        <v>1197</v>
      </c>
    </row>
    <row r="17" ht="24" customHeight="1" spans="2:8">
      <c r="B17" s="5" t="s">
        <v>1198</v>
      </c>
    </row>
    <row r="18" ht="28" customHeight="1" spans="2:8">
      <c r="B18" s="6" t="s">
        <v>1199</v>
      </c>
      <c r="C18" s="6" t="s">
        <v>1200</v>
      </c>
      <c r="D18" s="6" t="s">
        <v>1201</v>
      </c>
      <c r="E18" s="6"/>
      <c r="F18" s="6"/>
      <c r="G18" s="6"/>
      <c r="H18" s="6"/>
    </row>
    <row r="19" ht="26" customHeight="1" spans="2:8">
      <c r="B19" s="3" t="s">
        <v>1202</v>
      </c>
      <c r="C19" s="18">
        <v>28</v>
      </c>
      <c r="D19" s="7" t="s">
        <v>1203</v>
      </c>
      <c r="E19" s="19"/>
      <c r="F19" s="19"/>
      <c r="G19" s="19"/>
      <c r="H19" s="19"/>
    </row>
    <row r="20" ht="26" customHeight="1" spans="2:8">
      <c r="B20" s="20" t="s">
        <v>1204</v>
      </c>
      <c r="C20" s="21">
        <v>8</v>
      </c>
      <c r="D20" s="9" t="s">
        <v>1205</v>
      </c>
      <c r="E20" s="22"/>
      <c r="F20" s="22"/>
      <c r="G20" s="22"/>
      <c r="H20" s="22"/>
    </row>
    <row r="21" ht="26" customHeight="1" spans="2:8">
      <c r="B21" s="3" t="s">
        <v>1206</v>
      </c>
      <c r="C21" s="18">
        <v>1</v>
      </c>
      <c r="D21" s="7" t="s">
        <v>1207</v>
      </c>
      <c r="E21" s="19"/>
      <c r="F21" s="19"/>
      <c r="G21" s="19"/>
      <c r="H21" s="19"/>
    </row>
    <row r="23" ht="24" customHeight="1" spans="2:8">
      <c r="B23" s="5" t="s">
        <v>1208</v>
      </c>
    </row>
    <row r="24" ht="24" customHeight="1" spans="2:8">
      <c r="B24" s="8" t="s">
        <v>1209</v>
      </c>
      <c r="C24" s="7" t="s">
        <v>1210</v>
      </c>
      <c r="D24" s="19"/>
      <c r="E24" s="19"/>
      <c r="F24" s="19"/>
      <c r="G24" s="19"/>
      <c r="H24" s="19"/>
    </row>
    <row r="25" ht="24" customHeight="1" spans="2:8">
      <c r="B25" s="20" t="s">
        <v>1211</v>
      </c>
      <c r="C25" s="9" t="s">
        <v>1212</v>
      </c>
      <c r="D25" s="22"/>
      <c r="E25" s="22"/>
      <c r="F25" s="22"/>
      <c r="G25" s="22"/>
      <c r="H25" s="22"/>
    </row>
    <row r="26" ht="24" customHeight="1" spans="2:8">
      <c r="B26" s="8" t="s">
        <v>1213</v>
      </c>
      <c r="C26" s="7" t="s">
        <v>1214</v>
      </c>
      <c r="D26" s="19"/>
      <c r="E26" s="19"/>
      <c r="F26" s="19"/>
      <c r="G26" s="19"/>
      <c r="H26" s="19"/>
    </row>
    <row r="27" ht="24" customHeight="1" spans="2:8">
      <c r="B27" s="20" t="s">
        <v>1215</v>
      </c>
      <c r="C27" s="9" t="s">
        <v>1216</v>
      </c>
      <c r="D27" s="22"/>
      <c r="E27" s="22"/>
      <c r="F27" s="22"/>
      <c r="G27" s="22"/>
      <c r="H27" s="22"/>
    </row>
    <row r="28" ht="24" customHeight="1" spans="2:8">
      <c r="B28" s="8" t="s">
        <v>1217</v>
      </c>
      <c r="C28" s="7" t="s">
        <v>1218</v>
      </c>
      <c r="D28" s="19"/>
      <c r="E28" s="19"/>
      <c r="F28" s="19"/>
      <c r="G28" s="19"/>
      <c r="H28" s="19"/>
    </row>
    <row r="29" ht="24" customHeight="1" spans="2:8">
      <c r="B29" s="20" t="s">
        <v>1219</v>
      </c>
      <c r="C29" s="9" t="s">
        <v>1220</v>
      </c>
      <c r="D29" s="22"/>
      <c r="E29" s="22"/>
      <c r="F29" s="22"/>
      <c r="G29" s="22"/>
      <c r="H29" s="22"/>
    </row>
  </sheetData>
  <mergeCells count="13">
    <mergeCell ref="B6:H6"/>
    <mergeCell ref="B17:H17"/>
    <mergeCell ref="D18:H18"/>
    <mergeCell ref="D19:H19"/>
    <mergeCell ref="D20:H20"/>
    <mergeCell ref="D21:H21"/>
    <mergeCell ref="B23:H23"/>
    <mergeCell ref="C24:H24"/>
    <mergeCell ref="C25:H25"/>
    <mergeCell ref="C26:H26"/>
    <mergeCell ref="C27:H27"/>
    <mergeCell ref="C28:H28"/>
    <mergeCell ref="C29:H29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44"/>
  <sheetViews>
    <sheetView showGridLines="0" workbookViewId="0">
      <selection activeCell="A1" sqref="A1"/>
    </sheetView>
  </sheetViews>
  <sheetFormatPr defaultColWidth="9" defaultRowHeight="14"/>
  <cols>
    <col min="1" max="1" width="2" customWidth="1"/>
    <col min="2" max="2" width="20" customWidth="1"/>
    <col min="3" max="3" width="36" customWidth="1"/>
    <col min="4" max="4" width="32" customWidth="1"/>
    <col min="5" max="5" width="16" customWidth="1"/>
    <col min="6" max="6" width="24" customWidth="1"/>
    <col min="7" max="7" width="28" customWidth="1"/>
  </cols>
  <sheetData>
    <row r="2" ht="32" customHeight="1" spans="2:9">
      <c r="B2" s="1" t="s">
        <v>63</v>
      </c>
    </row>
    <row r="3" spans="2:9">
      <c r="B3" s="2" t="s">
        <v>1221</v>
      </c>
    </row>
    <row r="4" ht="26" spans="2:9">
      <c r="B4" s="3" t="s">
        <v>72</v>
      </c>
      <c r="C4" s="4" t="s">
        <v>73</v>
      </c>
      <c r="D4" s="3" t="s">
        <v>74</v>
      </c>
      <c r="E4" s="4" t="s">
        <v>75</v>
      </c>
      <c r="F4" s="3" t="s">
        <v>76</v>
      </c>
      <c r="G4" s="4" t="s">
        <v>77</v>
      </c>
      <c r="H4" s="3" t="s">
        <v>78</v>
      </c>
      <c r="I4" s="4" t="s">
        <v>79</v>
      </c>
    </row>
    <row r="6" ht="24" customHeight="1" spans="2:9">
      <c r="B6" s="5" t="s">
        <v>1222</v>
      </c>
    </row>
    <row r="7" ht="28" customHeight="1" spans="2:9">
      <c r="B7" s="6" t="s">
        <v>1223</v>
      </c>
      <c r="C7" s="6" t="s">
        <v>1224</v>
      </c>
      <c r="D7" s="6" t="s">
        <v>1201</v>
      </c>
      <c r="E7" s="6" t="s">
        <v>122</v>
      </c>
      <c r="F7" s="6" t="s">
        <v>1225</v>
      </c>
      <c r="G7" s="6" t="s">
        <v>1226</v>
      </c>
    </row>
    <row r="8" ht="30" customHeight="1" spans="2:9">
      <c r="B8" s="3" t="s">
        <v>1227</v>
      </c>
      <c r="C8" s="7" t="s">
        <v>1228</v>
      </c>
      <c r="D8" s="7" t="s">
        <v>1229</v>
      </c>
      <c r="E8" s="8" t="s">
        <v>82</v>
      </c>
      <c r="F8" s="7" t="s">
        <v>1230</v>
      </c>
      <c r="G8" s="7" t="s">
        <v>1231</v>
      </c>
    </row>
    <row r="9" ht="30" customHeight="1" spans="2:9">
      <c r="B9" s="3" t="s">
        <v>1232</v>
      </c>
      <c r="C9" s="9" t="s">
        <v>1233</v>
      </c>
      <c r="D9" s="9" t="s">
        <v>1234</v>
      </c>
      <c r="E9" s="8" t="s">
        <v>82</v>
      </c>
      <c r="F9" s="9" t="s">
        <v>1230</v>
      </c>
      <c r="G9" s="9" t="s">
        <v>1235</v>
      </c>
    </row>
    <row r="10" ht="30" customHeight="1" spans="2:9">
      <c r="B10" s="3" t="s">
        <v>1236</v>
      </c>
      <c r="C10" s="7" t="s">
        <v>1237</v>
      </c>
      <c r="D10" s="7" t="s">
        <v>1238</v>
      </c>
      <c r="E10" s="8" t="s">
        <v>82</v>
      </c>
      <c r="F10" s="7" t="s">
        <v>1230</v>
      </c>
      <c r="G10" s="7" t="s">
        <v>1239</v>
      </c>
    </row>
    <row r="11" ht="30" customHeight="1" spans="2:9">
      <c r="B11" s="3" t="s">
        <v>1240</v>
      </c>
      <c r="C11" s="9" t="s">
        <v>1241</v>
      </c>
      <c r="D11" s="9" t="s">
        <v>1242</v>
      </c>
      <c r="E11" s="8" t="s">
        <v>82</v>
      </c>
      <c r="F11" s="9" t="s">
        <v>1230</v>
      </c>
      <c r="G11" s="9" t="s">
        <v>1243</v>
      </c>
    </row>
    <row r="12" ht="30" customHeight="1" spans="2:9">
      <c r="B12" s="3" t="s">
        <v>1244</v>
      </c>
      <c r="C12" s="7" t="s">
        <v>1245</v>
      </c>
      <c r="D12" s="7" t="s">
        <v>1246</v>
      </c>
      <c r="E12" s="8" t="s">
        <v>82</v>
      </c>
      <c r="F12" s="7" t="s">
        <v>1230</v>
      </c>
      <c r="G12" s="7" t="s">
        <v>1247</v>
      </c>
    </row>
    <row r="13" ht="30" customHeight="1" spans="2:9">
      <c r="B13" s="3" t="s">
        <v>1248</v>
      </c>
      <c r="C13" s="9" t="s">
        <v>1249</v>
      </c>
      <c r="D13" s="9" t="s">
        <v>1250</v>
      </c>
      <c r="E13" s="8" t="s">
        <v>82</v>
      </c>
      <c r="F13" s="9" t="s">
        <v>1230</v>
      </c>
      <c r="G13" s="9" t="s">
        <v>1251</v>
      </c>
    </row>
    <row r="14" ht="30" customHeight="1" spans="2:9">
      <c r="B14" s="3" t="s">
        <v>1252</v>
      </c>
      <c r="C14" s="7" t="s">
        <v>127</v>
      </c>
      <c r="D14" s="7" t="s">
        <v>1253</v>
      </c>
      <c r="E14" s="8" t="s">
        <v>1254</v>
      </c>
      <c r="F14" s="7" t="s">
        <v>1255</v>
      </c>
      <c r="G14" s="7" t="s">
        <v>1256</v>
      </c>
    </row>
    <row r="16" ht="24" customHeight="1" spans="2:9">
      <c r="B16" s="5" t="s">
        <v>1257</v>
      </c>
    </row>
    <row r="17" ht="28" customHeight="1" spans="2:7">
      <c r="B17" s="6" t="s">
        <v>81</v>
      </c>
      <c r="C17" s="6" t="s">
        <v>1258</v>
      </c>
      <c r="D17" s="6" t="s">
        <v>1259</v>
      </c>
      <c r="E17" s="6" t="s">
        <v>1260</v>
      </c>
      <c r="F17" s="6" t="s">
        <v>1225</v>
      </c>
      <c r="G17" s="6"/>
    </row>
    <row r="18" ht="28" customHeight="1" spans="2:7">
      <c r="B18" s="3" t="s">
        <v>1261</v>
      </c>
      <c r="C18" s="7" t="s">
        <v>1262</v>
      </c>
      <c r="D18" s="7" t="s">
        <v>1263</v>
      </c>
      <c r="E18" s="10" t="s">
        <v>1264</v>
      </c>
      <c r="F18" s="8" t="s">
        <v>874</v>
      </c>
    </row>
    <row r="19" ht="28" customHeight="1" spans="2:7">
      <c r="B19" s="3" t="s">
        <v>1265</v>
      </c>
      <c r="C19" s="9" t="s">
        <v>1266</v>
      </c>
      <c r="D19" s="9" t="s">
        <v>1267</v>
      </c>
      <c r="E19" s="11" t="s">
        <v>1268</v>
      </c>
      <c r="F19" s="8" t="s">
        <v>883</v>
      </c>
      <c r="G19" s="12"/>
    </row>
    <row r="20" ht="28" customHeight="1" spans="2:7">
      <c r="B20" s="3" t="s">
        <v>1269</v>
      </c>
      <c r="C20" s="7" t="s">
        <v>1270</v>
      </c>
      <c r="D20" s="7" t="s">
        <v>1271</v>
      </c>
      <c r="E20" s="10" t="s">
        <v>1272</v>
      </c>
      <c r="F20" s="8" t="s">
        <v>890</v>
      </c>
    </row>
    <row r="21" ht="28" customHeight="1" spans="2:7">
      <c r="B21" s="3" t="s">
        <v>1273</v>
      </c>
      <c r="C21" s="9" t="s">
        <v>1274</v>
      </c>
      <c r="D21" s="9" t="s">
        <v>1275</v>
      </c>
      <c r="E21" s="11" t="s">
        <v>1276</v>
      </c>
      <c r="F21" s="8" t="s">
        <v>1277</v>
      </c>
      <c r="G21" s="12"/>
    </row>
    <row r="22" ht="28" customHeight="1" spans="2:7">
      <c r="B22" s="3" t="s">
        <v>1278</v>
      </c>
      <c r="C22" s="7" t="s">
        <v>1279</v>
      </c>
      <c r="D22" s="7" t="s">
        <v>1280</v>
      </c>
      <c r="E22" s="10" t="s">
        <v>1281</v>
      </c>
      <c r="F22" s="8" t="s">
        <v>901</v>
      </c>
    </row>
    <row r="23" ht="28" customHeight="1" spans="2:7">
      <c r="B23" s="3" t="s">
        <v>1282</v>
      </c>
      <c r="C23" s="9" t="s">
        <v>1283</v>
      </c>
      <c r="D23" s="9" t="s">
        <v>1284</v>
      </c>
      <c r="E23" s="11" t="s">
        <v>1285</v>
      </c>
      <c r="F23" s="8" t="s">
        <v>906</v>
      </c>
      <c r="G23" s="12"/>
    </row>
    <row r="24" ht="28" customHeight="1" spans="2:7">
      <c r="B24" s="3" t="s">
        <v>311</v>
      </c>
      <c r="C24" s="7" t="s">
        <v>914</v>
      </c>
      <c r="D24" s="7" t="s">
        <v>1286</v>
      </c>
      <c r="E24" s="10" t="s">
        <v>1287</v>
      </c>
      <c r="F24" s="8" t="s">
        <v>883</v>
      </c>
    </row>
    <row r="25" ht="28" customHeight="1" spans="2:7">
      <c r="B25" s="3" t="s">
        <v>313</v>
      </c>
      <c r="C25" s="9" t="s">
        <v>1288</v>
      </c>
      <c r="D25" s="9" t="s">
        <v>1289</v>
      </c>
      <c r="E25" s="11" t="s">
        <v>1290</v>
      </c>
      <c r="F25" s="8" t="s">
        <v>918</v>
      </c>
      <c r="G25" s="12"/>
    </row>
    <row r="26" ht="28" customHeight="1" spans="2:7">
      <c r="B26" s="3" t="s">
        <v>308</v>
      </c>
      <c r="C26" s="7" t="s">
        <v>1291</v>
      </c>
      <c r="D26" s="7" t="s">
        <v>1292</v>
      </c>
      <c r="E26" s="10" t="s">
        <v>1293</v>
      </c>
      <c r="F26" s="8" t="s">
        <v>924</v>
      </c>
    </row>
    <row r="27" ht="28" customHeight="1" spans="2:7">
      <c r="B27" s="3" t="s">
        <v>315</v>
      </c>
      <c r="C27" s="9" t="s">
        <v>1294</v>
      </c>
      <c r="D27" s="9" t="s">
        <v>1295</v>
      </c>
      <c r="E27" s="11" t="s">
        <v>1296</v>
      </c>
      <c r="F27" s="8" t="s">
        <v>929</v>
      </c>
      <c r="G27" s="12"/>
    </row>
    <row r="28" ht="28" customHeight="1" spans="2:7">
      <c r="B28" s="3" t="s">
        <v>1297</v>
      </c>
      <c r="C28" s="7" t="s">
        <v>1298</v>
      </c>
      <c r="D28" s="7" t="s">
        <v>1299</v>
      </c>
      <c r="E28" s="10" t="s">
        <v>1300</v>
      </c>
      <c r="F28" s="8" t="s">
        <v>1301</v>
      </c>
    </row>
    <row r="29" ht="28" customHeight="1" spans="2:7">
      <c r="B29" s="3" t="s">
        <v>545</v>
      </c>
      <c r="C29" s="9" t="s">
        <v>1302</v>
      </c>
      <c r="D29" s="9" t="s">
        <v>1303</v>
      </c>
      <c r="E29" s="11" t="s">
        <v>1304</v>
      </c>
      <c r="F29" s="8" t="s">
        <v>1305</v>
      </c>
      <c r="G29" s="12"/>
    </row>
    <row r="30" ht="28" customHeight="1" spans="2:7">
      <c r="B30" s="3" t="s">
        <v>1306</v>
      </c>
      <c r="C30" s="7" t="s">
        <v>1307</v>
      </c>
      <c r="D30" s="7" t="s">
        <v>1308</v>
      </c>
      <c r="E30" s="10" t="s">
        <v>1309</v>
      </c>
      <c r="F30" s="8" t="s">
        <v>874</v>
      </c>
    </row>
    <row r="31" ht="28" customHeight="1" spans="2:7">
      <c r="B31" s="3" t="s">
        <v>1310</v>
      </c>
      <c r="C31" s="9" t="s">
        <v>1311</v>
      </c>
      <c r="D31" s="9" t="s">
        <v>1312</v>
      </c>
      <c r="E31" s="11" t="s">
        <v>1313</v>
      </c>
      <c r="F31" s="8" t="s">
        <v>1314</v>
      </c>
      <c r="G31" s="12"/>
    </row>
    <row r="32" ht="28" customHeight="1" spans="2:7">
      <c r="B32" s="3" t="s">
        <v>1315</v>
      </c>
      <c r="C32" s="7" t="s">
        <v>1316</v>
      </c>
      <c r="D32" s="7" t="s">
        <v>1317</v>
      </c>
      <c r="E32" s="10" t="s">
        <v>1318</v>
      </c>
      <c r="F32" s="8" t="s">
        <v>1319</v>
      </c>
    </row>
    <row r="33" ht="28" customHeight="1" spans="2:7">
      <c r="B33" s="3" t="s">
        <v>1320</v>
      </c>
      <c r="C33" s="9" t="s">
        <v>1321</v>
      </c>
      <c r="D33" s="9" t="s">
        <v>1322</v>
      </c>
      <c r="E33" s="11" t="s">
        <v>1323</v>
      </c>
      <c r="F33" s="8" t="s">
        <v>1324</v>
      </c>
      <c r="G33" s="12"/>
    </row>
    <row r="34" ht="28" customHeight="1" spans="2:7">
      <c r="B34" s="3" t="s">
        <v>1325</v>
      </c>
      <c r="C34" s="7" t="s">
        <v>1326</v>
      </c>
      <c r="D34" s="7" t="s">
        <v>1327</v>
      </c>
      <c r="E34" s="10" t="s">
        <v>1328</v>
      </c>
      <c r="F34" s="8" t="s">
        <v>1329</v>
      </c>
    </row>
    <row r="35" ht="28" customHeight="1" spans="2:7">
      <c r="B35" s="3" t="s">
        <v>1330</v>
      </c>
      <c r="C35" s="9" t="s">
        <v>1331</v>
      </c>
      <c r="D35" s="9" t="s">
        <v>1332</v>
      </c>
      <c r="E35" s="11" t="s">
        <v>1333</v>
      </c>
      <c r="F35" s="8" t="s">
        <v>1334</v>
      </c>
      <c r="G35" s="12"/>
    </row>
    <row r="36" ht="28" customHeight="1" spans="2:7">
      <c r="B36" s="3" t="s">
        <v>1335</v>
      </c>
      <c r="C36" s="7" t="s">
        <v>1336</v>
      </c>
      <c r="D36" s="7" t="s">
        <v>1337</v>
      </c>
      <c r="E36" s="10" t="s">
        <v>1338</v>
      </c>
      <c r="F36" s="8" t="s">
        <v>1339</v>
      </c>
    </row>
    <row r="37" ht="28" customHeight="1" spans="2:7">
      <c r="B37" s="3" t="s">
        <v>1340</v>
      </c>
      <c r="C37" s="9" t="s">
        <v>1341</v>
      </c>
      <c r="D37" s="9" t="s">
        <v>1342</v>
      </c>
      <c r="E37" s="11" t="s">
        <v>1343</v>
      </c>
      <c r="F37" s="8" t="s">
        <v>901</v>
      </c>
      <c r="G37" s="12"/>
    </row>
    <row r="39" ht="24" customHeight="1" spans="2:7">
      <c r="B39" s="5" t="s">
        <v>1344</v>
      </c>
    </row>
    <row r="40" spans="2:7">
      <c r="B40" s="13" t="s">
        <v>1345</v>
      </c>
    </row>
    <row r="41" spans="2:7">
      <c r="B41" s="13" t="s">
        <v>1346</v>
      </c>
    </row>
    <row r="42" spans="2:7">
      <c r="B42" s="13" t="s">
        <v>1347</v>
      </c>
    </row>
    <row r="43" spans="2:7">
      <c r="B43" s="13" t="s">
        <v>1348</v>
      </c>
    </row>
    <row r="44" spans="2:7">
      <c r="B44" s="13" t="s">
        <v>1349</v>
      </c>
    </row>
  </sheetData>
  <mergeCells count="9">
    <mergeCell ref="B6:G6"/>
    <mergeCell ref="B16:G16"/>
    <mergeCell ref="F17:G17"/>
    <mergeCell ref="B39:G39"/>
    <mergeCell ref="B40:G40"/>
    <mergeCell ref="B41:G41"/>
    <mergeCell ref="B42:G42"/>
    <mergeCell ref="B43:G43"/>
    <mergeCell ref="B44:G4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00_目录与版本</vt:lpstr>
      <vt:lpstr>01_背景与目标</vt:lpstr>
      <vt:lpstr>02_总览结论</vt:lpstr>
      <vt:lpstr>03_技术路线地图</vt:lpstr>
      <vt:lpstr>04_模型量化原理与方案</vt:lpstr>
      <vt:lpstr>05_KVCache量化原理与方案</vt:lpstr>
      <vt:lpstr>06_PrefixKV命中原理与方案</vt:lpstr>
      <vt:lpstr>07_投机解码原理与方案</vt:lpstr>
      <vt:lpstr>08_PD分离原理与方案</vt:lpstr>
      <vt:lpstr>09_MOE专家并行原理与方案</vt:lpstr>
      <vt:lpstr>10_连续批处理原理与方案</vt:lpstr>
      <vt:lpstr>11_推理框架总览</vt:lpstr>
      <vt:lpstr>12_框架对比分析</vt:lpstr>
      <vt:lpstr>13_框架-方法适配矩阵</vt:lpstr>
      <vt:lpstr>14_汇总建议与资源计划</vt:lpstr>
      <vt:lpstr>15_数据附录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Whale</cp:lastModifiedBy>
  <dcterms:created xsi:type="dcterms:W3CDTF">2026-07-01T23:09:00Z</dcterms:created>
  <dcterms:modified xsi:type="dcterms:W3CDTF">2026-07-02T02:00:16Z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ED29A9FCF7E24A47B26FA8126C2B483B_13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